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zorae\Downloads\data learning yt junk\Excel YT suff\"/>
    </mc:Choice>
  </mc:AlternateContent>
  <xr:revisionPtr revIDLastSave="0" documentId="13_ncr:9_{702183E6-3444-4C03-AF6A-20F9CD1F8731}" xr6:coauthVersionLast="47" xr6:coauthVersionMax="47" xr10:uidLastSave="{00000000-0000-0000-0000-000000000000}"/>
  <bookViews>
    <workbookView xWindow="-108" yWindow="-108" windowWidth="23256" windowHeight="12576" firstSheet="2" activeTab="4" xr2:uid="{75A961A9-75FF-4193-94DB-49A73EF9B5EC}"/>
  </bookViews>
  <sheets>
    <sheet name="largest_companies" sheetId="1" r:id="rId1"/>
    <sheet name="working_largest_companies" sheetId="2" r:id="rId2"/>
    <sheet name="Industry_Mapping" sheetId="5" r:id="rId3"/>
    <sheet name="Pivot_Tables" sheetId="3" r:id="rId4"/>
    <sheet name="Dashboard" sheetId="4" r:id="rId5"/>
  </sheets>
  <definedNames>
    <definedName name="Slicer_Headquarters_State">#N/A</definedName>
    <definedName name="Slicer_Revenue_Brackets">#N/A</definedName>
    <definedName name="Slicer_Revenue_Growth_Result">#N/A</definedName>
    <definedName name="Slicer_Standardized_Industry">#N/A</definedName>
  </definedNames>
  <calcPr calcId="0"/>
  <pivotCaches>
    <pivotCache cacheId="34"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D7" i="2" l="1"/>
  <c r="D3" i="2"/>
  <c r="D4" i="2"/>
  <c r="D5" i="2"/>
  <c r="D6"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2" i="2"/>
  <c r="F3" i="2" a="1"/>
  <c r="F3" i="2" s="1"/>
  <c r="F4" i="2" a="1"/>
  <c r="F4" i="2" s="1"/>
  <c r="F5" i="2" a="1"/>
  <c r="F5" i="2"/>
  <c r="F6" i="2" a="1"/>
  <c r="F6" i="2"/>
  <c r="F7" i="2" a="1"/>
  <c r="F7" i="2" s="1"/>
  <c r="F8" i="2" a="1"/>
  <c r="F8" i="2" s="1"/>
  <c r="F9" i="2" a="1"/>
  <c r="F9" i="2"/>
  <c r="F10" i="2" a="1"/>
  <c r="F10" i="2"/>
  <c r="F11" i="2" a="1"/>
  <c r="F11" i="2" s="1"/>
  <c r="F12" i="2" a="1"/>
  <c r="F12" i="2" s="1"/>
  <c r="F13" i="2" a="1"/>
  <c r="F13" i="2"/>
  <c r="F14" i="2" a="1"/>
  <c r="F14" i="2"/>
  <c r="F15" i="2" a="1"/>
  <c r="F15" i="2" s="1"/>
  <c r="F16" i="2" a="1"/>
  <c r="F16" i="2" s="1"/>
  <c r="F17" i="2" a="1"/>
  <c r="F17" i="2"/>
  <c r="F18" i="2" a="1"/>
  <c r="F18" i="2"/>
  <c r="F19" i="2" a="1"/>
  <c r="F19" i="2" s="1"/>
  <c r="F20" i="2" a="1"/>
  <c r="F20" i="2" s="1"/>
  <c r="F21" i="2" a="1"/>
  <c r="F21" i="2"/>
  <c r="F22" i="2" a="1"/>
  <c r="F22" i="2"/>
  <c r="F23" i="2" a="1"/>
  <c r="F23" i="2" s="1"/>
  <c r="F24" i="2" a="1"/>
  <c r="F24" i="2" s="1"/>
  <c r="F25" i="2" a="1"/>
  <c r="F25" i="2"/>
  <c r="F26" i="2" a="1"/>
  <c r="F26" i="2"/>
  <c r="F27" i="2" a="1"/>
  <c r="F27" i="2" s="1"/>
  <c r="F28" i="2" a="1"/>
  <c r="F28" i="2" s="1"/>
  <c r="F29" i="2" a="1"/>
  <c r="F29" i="2"/>
  <c r="F30" i="2" a="1"/>
  <c r="F30" i="2"/>
  <c r="F31" i="2" a="1"/>
  <c r="F31" i="2" s="1"/>
  <c r="F32" i="2" a="1"/>
  <c r="F32" i="2" s="1"/>
  <c r="F33" i="2" a="1"/>
  <c r="F33" i="2"/>
  <c r="F34" i="2" a="1"/>
  <c r="F34" i="2"/>
  <c r="F35" i="2" a="1"/>
  <c r="F35" i="2" s="1"/>
  <c r="F36" i="2" a="1"/>
  <c r="F36" i="2" s="1"/>
  <c r="F37" i="2" a="1"/>
  <c r="F37" i="2"/>
  <c r="F38" i="2" a="1"/>
  <c r="F38" i="2"/>
  <c r="F39" i="2" a="1"/>
  <c r="F39" i="2" s="1"/>
  <c r="F40" i="2" a="1"/>
  <c r="F40" i="2" s="1"/>
  <c r="F41" i="2" a="1"/>
  <c r="F41" i="2"/>
  <c r="F42" i="2" a="1"/>
  <c r="F42" i="2"/>
  <c r="F43" i="2" a="1"/>
  <c r="F43" i="2" s="1"/>
  <c r="F44" i="2" a="1"/>
  <c r="F44" i="2" s="1"/>
  <c r="F45" i="2" a="1"/>
  <c r="F45" i="2"/>
  <c r="F46" i="2" a="1"/>
  <c r="F46" i="2"/>
  <c r="F47" i="2" a="1"/>
  <c r="F47" i="2" s="1"/>
  <c r="F48" i="2" a="1"/>
  <c r="F48" i="2" s="1"/>
  <c r="F49" i="2" a="1"/>
  <c r="F49" i="2"/>
  <c r="F50" i="2" a="1"/>
  <c r="F50" i="2"/>
  <c r="F51" i="2" a="1"/>
  <c r="F51" i="2" s="1"/>
  <c r="F52" i="2" a="1"/>
  <c r="F52" i="2" s="1"/>
  <c r="F53" i="2" a="1"/>
  <c r="F53" i="2"/>
  <c r="F54" i="2" a="1"/>
  <c r="F54" i="2"/>
  <c r="F55" i="2" a="1"/>
  <c r="F55" i="2" s="1"/>
  <c r="F56" i="2" a="1"/>
  <c r="F56" i="2" s="1"/>
  <c r="F57" i="2" a="1"/>
  <c r="F57" i="2"/>
  <c r="F58" i="2" a="1"/>
  <c r="F58" i="2"/>
  <c r="F59" i="2" a="1"/>
  <c r="F59" i="2" s="1"/>
  <c r="F60" i="2" a="1"/>
  <c r="F60" i="2" s="1"/>
  <c r="F61" i="2" a="1"/>
  <c r="F61" i="2"/>
  <c r="F62" i="2" a="1"/>
  <c r="F62" i="2"/>
  <c r="F63" i="2" a="1"/>
  <c r="F63" i="2" s="1"/>
  <c r="F64" i="2" a="1"/>
  <c r="F64" i="2" s="1"/>
  <c r="F65" i="2" a="1"/>
  <c r="F65" i="2"/>
  <c r="F66" i="2" a="1"/>
  <c r="F66" i="2"/>
  <c r="F67" i="2" a="1"/>
  <c r="F67" i="2" s="1"/>
  <c r="F68" i="2" a="1"/>
  <c r="F68" i="2" s="1"/>
  <c r="F69" i="2" a="1"/>
  <c r="F69" i="2"/>
  <c r="F70" i="2" a="1"/>
  <c r="F70" i="2"/>
  <c r="F71" i="2" a="1"/>
  <c r="F71" i="2" s="1"/>
  <c r="F72" i="2" a="1"/>
  <c r="F72" i="2" s="1"/>
  <c r="F73" i="2" a="1"/>
  <c r="F73" i="2"/>
  <c r="F74" i="2" a="1"/>
  <c r="F74" i="2"/>
  <c r="F75" i="2" a="1"/>
  <c r="F75" i="2" s="1"/>
  <c r="F76" i="2" a="1"/>
  <c r="F76" i="2" s="1"/>
  <c r="F77" i="2" a="1"/>
  <c r="F77" i="2"/>
  <c r="F78" i="2" a="1"/>
  <c r="F78" i="2"/>
  <c r="F79" i="2" a="1"/>
  <c r="F79" i="2" s="1"/>
  <c r="F80" i="2" a="1"/>
  <c r="F80" i="2" s="1"/>
  <c r="F81" i="2" a="1"/>
  <c r="F81" i="2"/>
  <c r="F82" i="2" a="1"/>
  <c r="F82" i="2"/>
  <c r="F83" i="2" a="1"/>
  <c r="F83" i="2" s="1"/>
  <c r="F84" i="2" a="1"/>
  <c r="F84" i="2" s="1"/>
  <c r="F85" i="2" a="1"/>
  <c r="F85" i="2"/>
  <c r="F86" i="2" a="1"/>
  <c r="F86" i="2"/>
  <c r="F87" i="2" a="1"/>
  <c r="F87" i="2" s="1"/>
  <c r="F88" i="2" a="1"/>
  <c r="F88" i="2" s="1"/>
  <c r="F89" i="2" a="1"/>
  <c r="F89" i="2"/>
  <c r="F90" i="2" a="1"/>
  <c r="F90" i="2"/>
  <c r="F91" i="2" a="1"/>
  <c r="F91" i="2" s="1"/>
  <c r="F92" i="2" a="1"/>
  <c r="F92" i="2" s="1"/>
  <c r="F93" i="2" a="1"/>
  <c r="F93" i="2"/>
  <c r="F94" i="2" a="1"/>
  <c r="F94" i="2"/>
  <c r="F95" i="2" a="1"/>
  <c r="F95" i="2" s="1"/>
  <c r="F96" i="2" a="1"/>
  <c r="F96" i="2" s="1"/>
  <c r="F97" i="2" a="1"/>
  <c r="F97" i="2"/>
  <c r="F98" i="2" a="1"/>
  <c r="F98" i="2"/>
  <c r="F99" i="2" a="1"/>
  <c r="F99" i="2" s="1"/>
  <c r="F100" i="2" a="1"/>
  <c r="F100" i="2" s="1"/>
  <c r="F101" i="2" a="1"/>
  <c r="F101" i="2"/>
  <c r="F2" i="2" a="1"/>
  <c r="F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<sst xmlns="http://schemas.openxmlformats.org/spreadsheetml/2006/main" count="723" uniqueCount="233">
  <si>
    <t>Rank</t>
  </si>
  <si>
    <t>Name</t>
  </si>
  <si>
    <t>Industry</t>
  </si>
  <si>
    <t>Revenue (USD millions)</t>
  </si>
  <si>
    <t>Revenue growth</t>
  </si>
  <si>
    <t>Employees</t>
  </si>
  <si>
    <t>Headquarters</t>
  </si>
  <si>
    <t>Walmart</t>
  </si>
  <si>
    <t>Retail</t>
  </si>
  <si>
    <t>Bentonville, Arkansas</t>
  </si>
  <si>
    <t>Amazon</t>
  </si>
  <si>
    <t>Retail and cloud computing</t>
  </si>
  <si>
    <t>Seattle, Washington</t>
  </si>
  <si>
    <t>UnitedHealth Group</t>
  </si>
  <si>
    <t>Healthcare</t>
  </si>
  <si>
    <t>Minnetonka, Minnesota</t>
  </si>
  <si>
    <t>Apple</t>
  </si>
  <si>
    <t>Electronics industry</t>
  </si>
  <si>
    <t>Cupertino, California</t>
  </si>
  <si>
    <t>CVS Health</t>
  </si>
  <si>
    <t>Woonsocket, Rhode Island</t>
  </si>
  <si>
    <t>Berkshire Hathaway</t>
  </si>
  <si>
    <t>Conglomerate</t>
  </si>
  <si>
    <t>Omaha, Nebraska</t>
  </si>
  <si>
    <t>Alphabet</t>
  </si>
  <si>
    <t>Technology and cloud computing</t>
  </si>
  <si>
    <t>Mountain View, California</t>
  </si>
  <si>
    <t>ExxonMobil</t>
  </si>
  <si>
    <t>Petroleum industry</t>
  </si>
  <si>
    <t>Spring, Texas</t>
  </si>
  <si>
    <t>McKesson Corporation</t>
  </si>
  <si>
    <t>Health</t>
  </si>
  <si>
    <t>Irving, Texas</t>
  </si>
  <si>
    <t>Cencora</t>
  </si>
  <si>
    <t>Pharmacy wholesale</t>
  </si>
  <si>
    <t>Conshohocken, Pennsylvania</t>
  </si>
  <si>
    <t>JPMorgan Chase</t>
  </si>
  <si>
    <t>Financial services</t>
  </si>
  <si>
    <t>New York City, New York</t>
  </si>
  <si>
    <t>Costco</t>
  </si>
  <si>
    <t>Issaquah, Washington</t>
  </si>
  <si>
    <t>Cigna</t>
  </si>
  <si>
    <t>Health insurance</t>
  </si>
  <si>
    <t>Bloomfield, Connecticut</t>
  </si>
  <si>
    <t>Microsoft</t>
  </si>
  <si>
    <t>Redmond, Washington</t>
  </si>
  <si>
    <t>Cardinal Health</t>
  </si>
  <si>
    <t>Dublin, Ohio</t>
  </si>
  <si>
    <t>Chevron Corporation</t>
  </si>
  <si>
    <t>Houston, Texas</t>
  </si>
  <si>
    <t>Bank of America</t>
  </si>
  <si>
    <t>Financials</t>
  </si>
  <si>
    <t>Charlotte, North Carolina</t>
  </si>
  <si>
    <t>General Motors</t>
  </si>
  <si>
    <t>Automotive industry</t>
  </si>
  <si>
    <t>Detroit, Michigan</t>
  </si>
  <si>
    <t>Ford Motor Company</t>
  </si>
  <si>
    <t>Dearborn, Michigan</t>
  </si>
  <si>
    <t>Elevance Health</t>
  </si>
  <si>
    <t>Indianapolis, Indiana</t>
  </si>
  <si>
    <t>Citigroup</t>
  </si>
  <si>
    <t>Meta Platforms</t>
  </si>
  <si>
    <t>Technology</t>
  </si>
  <si>
    <t>Menlo Park, California</t>
  </si>
  <si>
    <t>Centene</t>
  </si>
  <si>
    <t>St. Louis, Missouri</t>
  </si>
  <si>
    <t>The Home Depot</t>
  </si>
  <si>
    <t>Atlanta, Georgia</t>
  </si>
  <si>
    <t>Fannie Mae</t>
  </si>
  <si>
    <t>Washington, D.C.</t>
  </si>
  <si>
    <t>Walgreens Boots Alliance</t>
  </si>
  <si>
    <t>Pharmaceutical industry</t>
  </si>
  <si>
    <t>Deerfield, Illinois</t>
  </si>
  <si>
    <t>Kroger</t>
  </si>
  <si>
    <t>Cincinnati, Ohio</t>
  </si>
  <si>
    <t>Phillips 66</t>
  </si>
  <si>
    <t>Marathon Petroleum</t>
  </si>
  <si>
    <t>Findlay, Ohio</t>
  </si>
  <si>
    <t>Verizon Communications</t>
  </si>
  <si>
    <t>Telecommunications</t>
  </si>
  <si>
    <t>Nvidia</t>
  </si>
  <si>
    <t>Santa Clara, California</t>
  </si>
  <si>
    <t>Goldman Sachs</t>
  </si>
  <si>
    <t>Wells Fargo</t>
  </si>
  <si>
    <t>San Francisco, California</t>
  </si>
  <si>
    <t>Valero Energy</t>
  </si>
  <si>
    <t>San Antonio, Texas</t>
  </si>
  <si>
    <t>Comcast</t>
  </si>
  <si>
    <t>Philadelphia, Pennsylvania</t>
  </si>
  <si>
    <t>State Farm</t>
  </si>
  <si>
    <t>Bloomington, Illinois</t>
  </si>
  <si>
    <t>AT&amp;T</t>
  </si>
  <si>
    <t>Conglomerate and telecommunications</t>
  </si>
  <si>
    <t>Dallas, Texas</t>
  </si>
  <si>
    <t>Freddie Mac</t>
  </si>
  <si>
    <t>McLean, Virginia</t>
  </si>
  <si>
    <t>Humana</t>
  </si>
  <si>
    <t>Louisville, Kentucky</t>
  </si>
  <si>
    <t>Morgan Stanley</t>
  </si>
  <si>
    <t>Target Corporation</t>
  </si>
  <si>
    <t>Minneapolis, Minnesota</t>
  </si>
  <si>
    <t>StoneX Group</t>
  </si>
  <si>
    <t>Tesla</t>
  </si>
  <si>
    <t>Automotive and energy</t>
  </si>
  <si>
    <t>Austin, Texas</t>
  </si>
  <si>
    <t>Dell Technologies</t>
  </si>
  <si>
    <t>Round Rock, Texas</t>
  </si>
  <si>
    <t>PepsiCo</t>
  </si>
  <si>
    <t>Beverage</t>
  </si>
  <si>
    <t>Purchase, New York</t>
  </si>
  <si>
    <t>The Walt Disney Company</t>
  </si>
  <si>
    <t>Media</t>
  </si>
  <si>
    <t>Burbank, California</t>
  </si>
  <si>
    <t>United Parcel Service</t>
  </si>
  <si>
    <t>Transportation</t>
  </si>
  <si>
    <t>Johnson &amp; Johnson</t>
  </si>
  <si>
    <t>New Brunswick, New Jersey</t>
  </si>
  <si>
    <t>FedEx</t>
  </si>
  <si>
    <t>Memphis, Tennessee</t>
  </si>
  <si>
    <t>Archer Daniels Midland</t>
  </si>
  <si>
    <t>Food industry</t>
  </si>
  <si>
    <t>Chicago, Illinois</t>
  </si>
  <si>
    <t>Procter &amp; Gamble</t>
  </si>
  <si>
    <t>Consumer products manufacturing</t>
  </si>
  <si>
    <t>Lowe's</t>
  </si>
  <si>
    <t>Mooresville, North Carolina</t>
  </si>
  <si>
    <t>Energy Transfer Partners</t>
  </si>
  <si>
    <t>RTX Corporation</t>
  </si>
  <si>
    <t>Arlington County, Virginia</t>
  </si>
  <si>
    <t>Albertsons</t>
  </si>
  <si>
    <t>Boise, Idaho</t>
  </si>
  <si>
    <t>Sysco</t>
  </si>
  <si>
    <t>Food service</t>
  </si>
  <si>
    <t>Progressive Corporation</t>
  </si>
  <si>
    <t>Insurance</t>
  </si>
  <si>
    <t>Mayfield Village, Ohio</t>
  </si>
  <si>
    <t>American Express</t>
  </si>
  <si>
    <t>Financial</t>
  </si>
  <si>
    <t>Lockheed Martin</t>
  </si>
  <si>
    <t>Aerospace and defense</t>
  </si>
  <si>
    <t>Bethesda, Maryland</t>
  </si>
  <si>
    <t>MetLife</t>
  </si>
  <si>
    <t>HCA Healthcare</t>
  </si>
  <si>
    <t>Nashville, Tennessee</t>
  </si>
  <si>
    <t>Prudential Financial</t>
  </si>
  <si>
    <t>Newark, New Jersey</t>
  </si>
  <si>
    <t>Boeing</t>
  </si>
  <si>
    <t>Caterpillar</t>
  </si>
  <si>
    <t>Machinery</t>
  </si>
  <si>
    <t>Merck &amp; Co.</t>
  </si>
  <si>
    <t>Kenilworth, New Jersey</t>
  </si>
  <si>
    <t>Allstate</t>
  </si>
  <si>
    <t>Northfield Township, Cook County, Illinois</t>
  </si>
  <si>
    <t>Pfizer</t>
  </si>
  <si>
    <t>IBM</t>
  </si>
  <si>
    <t>Armonk, New York</t>
  </si>
  <si>
    <t>New York Life Insurance Company</t>
  </si>
  <si>
    <t>Delta Air Lines</t>
  </si>
  <si>
    <t>Airline</t>
  </si>
  <si>
    <t>Publix</t>
  </si>
  <si>
    <t>Lakeland, Florida</t>
  </si>
  <si>
    <t>Nationwide Mutual Insurance Company</t>
  </si>
  <si>
    <t>Columbus, Ohio</t>
  </si>
  <si>
    <t>TD Synnex</t>
  </si>
  <si>
    <t>Information Technology</t>
  </si>
  <si>
    <t>Clearwater, Florida</t>
  </si>
  <si>
    <t>United Airlines</t>
  </si>
  <si>
    <t>ConocoPhillips</t>
  </si>
  <si>
    <t>TJX</t>
  </si>
  <si>
    <t>Framingham, Massachusetts</t>
  </si>
  <si>
    <t>AbbVie</t>
  </si>
  <si>
    <t>Lake Bluff, Illinois</t>
  </si>
  <si>
    <t>Enterprise Products</t>
  </si>
  <si>
    <t>Charter Communications</t>
  </si>
  <si>
    <t>Stamford, Connecticut</t>
  </si>
  <si>
    <t>Performance Food Group</t>
  </si>
  <si>
    <t>Food processing</t>
  </si>
  <si>
    <t>Richmond, Virginia</t>
  </si>
  <si>
    <t>American Airlines</t>
  </si>
  <si>
    <t>Fort Worth, Texas</t>
  </si>
  <si>
    <t>Capital One Financial</t>
  </si>
  <si>
    <t>Cisco</t>
  </si>
  <si>
    <t>Telecom hardware manufacturing</t>
  </si>
  <si>
    <t>San Jose, California</t>
  </si>
  <si>
    <t>HP</t>
  </si>
  <si>
    <t>Palo Alto, California</t>
  </si>
  <si>
    <t>Tyson Foods</t>
  </si>
  <si>
    <t>Springdale, Arkansas</t>
  </si>
  <si>
    <t>Intel</t>
  </si>
  <si>
    <t>Oracle Corporation</t>
  </si>
  <si>
    <t>Broadcom</t>
  </si>
  <si>
    <t>John Deere</t>
  </si>
  <si>
    <t>Agriculture manufacturing</t>
  </si>
  <si>
    <t>Moline, Illinois</t>
  </si>
  <si>
    <t>Nike</t>
  </si>
  <si>
    <t>Apparel</t>
  </si>
  <si>
    <t>Beaverton, Oregon</t>
  </si>
  <si>
    <t>Liberty Mutual</t>
  </si>
  <si>
    <t>Boston, Massachusetts</t>
  </si>
  <si>
    <t>Plains All American Pipeline</t>
  </si>
  <si>
    <t>USAA</t>
  </si>
  <si>
    <t>Bristol-Myers Squibb</t>
  </si>
  <si>
    <t>Ingram Micro</t>
  </si>
  <si>
    <t>Irvine, California</t>
  </si>
  <si>
    <t>General Dynamics</t>
  </si>
  <si>
    <t>Reston, Virginia</t>
  </si>
  <si>
    <t>Coca-Cola</t>
  </si>
  <si>
    <t>TIAA</t>
  </si>
  <si>
    <t>The Travelers Companies</t>
  </si>
  <si>
    <t>Eli Lilly</t>
  </si>
  <si>
    <t>Grand Total</t>
  </si>
  <si>
    <t>Row Labels</t>
  </si>
  <si>
    <t>Standardized Industry</t>
  </si>
  <si>
    <t>Headquarters State</t>
  </si>
  <si>
    <t>Revenue Growth Result</t>
  </si>
  <si>
    <t>Revenue Brackets</t>
  </si>
  <si>
    <t>Raw Industry</t>
  </si>
  <si>
    <t>Automotive</t>
  </si>
  <si>
    <t>Finance</t>
  </si>
  <si>
    <t>Colglomerate</t>
  </si>
  <si>
    <t>Energy / Oil and Gas</t>
  </si>
  <si>
    <t>Food and Beverage</t>
  </si>
  <si>
    <t>Food and Agriculture</t>
  </si>
  <si>
    <t>Food Service</t>
  </si>
  <si>
    <t>Count of Standardized Industry</t>
  </si>
  <si>
    <t>Count of Revenue Brackets</t>
  </si>
  <si>
    <t>Count of Revenue Growth Result</t>
  </si>
  <si>
    <t>Negative Growth</t>
  </si>
  <si>
    <t>Positive Growth</t>
  </si>
  <si>
    <t>Between $100,000-$500,000</t>
  </si>
  <si>
    <t>Less than $100,000</t>
  </si>
  <si>
    <t>Over $500,000</t>
  </si>
  <si>
    <t>Largest Companies by Revenue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</si>
</sst>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6"/>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3" fontId="0" fillId="0" borderId="0" xfId="0" applyNumberFormat="1"/>
    <xf numFmtId="10" fontId="0" fillId="0" borderId="0" xfId="0" applyNumberFormat="1"/>
    <xf numFmtId="1"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Companies in Each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Pivot_Tables!$B$1</c:f>
              <c:strCache>
                <c:ptCount val="1"/>
                <c:pt idx="0">
                  <c:v>Total</c:v>
                </c:pt>
              </c:strCache>
            </c:strRef>
          </c:tx>
          <c:spPr>
            <a:solidFill>
              <a:schemeClr val="accent1"/>
            </a:solidFill>
            <a:ln>
              <a:noFill/>
            </a:ln>
            <a:effectLst/>
          </c:spPr>
          <c:invertIfNegative val="0"/>
          <c:cat>
            <c:strRef>
              <c:f>Pivot_Tables!$A$2:$A$22</c:f>
              <c:strCache>
                <c:ptCount val="20"/>
                <c:pt idx="0">
                  <c:v>Healthcare</c:v>
                </c:pt>
                <c:pt idx="1">
                  <c:v>Finance</c:v>
                </c:pt>
                <c:pt idx="2">
                  <c:v>Technology</c:v>
                </c:pt>
                <c:pt idx="3">
                  <c:v>Retail</c:v>
                </c:pt>
                <c:pt idx="4">
                  <c:v>Energy / Oil and Gas</c:v>
                </c:pt>
                <c:pt idx="5">
                  <c:v>Insurance</c:v>
                </c:pt>
                <c:pt idx="6">
                  <c:v>Telecommunications</c:v>
                </c:pt>
                <c:pt idx="7">
                  <c:v>Automotive</c:v>
                </c:pt>
                <c:pt idx="8">
                  <c:v>Aerospace and defense</c:v>
                </c:pt>
                <c:pt idx="9">
                  <c:v>Airline</c:v>
                </c:pt>
                <c:pt idx="10">
                  <c:v>Machinery</c:v>
                </c:pt>
                <c:pt idx="11">
                  <c:v>Colglomerate</c:v>
                </c:pt>
                <c:pt idx="12">
                  <c:v>Transportation</c:v>
                </c:pt>
                <c:pt idx="13">
                  <c:v>Food and Beverage</c:v>
                </c:pt>
                <c:pt idx="14">
                  <c:v>Food processing</c:v>
                </c:pt>
                <c:pt idx="15">
                  <c:v>Media</c:v>
                </c:pt>
                <c:pt idx="16">
                  <c:v>Apparel</c:v>
                </c:pt>
                <c:pt idx="17">
                  <c:v>Consumer products manufacturing</c:v>
                </c:pt>
                <c:pt idx="18">
                  <c:v>Food and Agriculture</c:v>
                </c:pt>
                <c:pt idx="19">
                  <c:v>Food Service</c:v>
                </c:pt>
              </c:strCache>
            </c:strRef>
          </c:cat>
          <c:val>
            <c:numRef>
              <c:f>Pivot_Tables!$B$2:$B$22</c:f>
              <c:numCache>
                <c:formatCode>General</c:formatCode>
                <c:ptCount val="20"/>
                <c:pt idx="0">
                  <c:v>17</c:v>
                </c:pt>
                <c:pt idx="1">
                  <c:v>16</c:v>
                </c:pt>
                <c:pt idx="2">
                  <c:v>14</c:v>
                </c:pt>
                <c:pt idx="3">
                  <c:v>10</c:v>
                </c:pt>
                <c:pt idx="4">
                  <c:v>9</c:v>
                </c:pt>
                <c:pt idx="5">
                  <c:v>6</c:v>
                </c:pt>
                <c:pt idx="6">
                  <c:v>4</c:v>
                </c:pt>
                <c:pt idx="7">
                  <c:v>3</c:v>
                </c:pt>
                <c:pt idx="8">
                  <c:v>3</c:v>
                </c:pt>
                <c:pt idx="9">
                  <c:v>3</c:v>
                </c:pt>
                <c:pt idx="10">
                  <c:v>2</c:v>
                </c:pt>
                <c:pt idx="11">
                  <c:v>2</c:v>
                </c:pt>
                <c:pt idx="12">
                  <c:v>2</c:v>
                </c:pt>
                <c:pt idx="13">
                  <c:v>2</c:v>
                </c:pt>
                <c:pt idx="14">
                  <c:v>2</c:v>
                </c:pt>
                <c:pt idx="15">
                  <c:v>1</c:v>
                </c:pt>
                <c:pt idx="16">
                  <c:v>1</c:v>
                </c:pt>
                <c:pt idx="17">
                  <c:v>1</c:v>
                </c:pt>
                <c:pt idx="18">
                  <c:v>1</c:v>
                </c:pt>
                <c:pt idx="19">
                  <c:v>1</c:v>
                </c:pt>
              </c:numCache>
            </c:numRef>
          </c:val>
          <c:extLst>
            <c:ext xmlns:c16="http://schemas.microsoft.com/office/drawing/2014/chart" uri="{C3380CC4-5D6E-409C-BE32-E72D297353CC}">
              <c16:uniqueId val="{00000000-E761-42B4-A4F0-1DA732B653AB}"/>
            </c:ext>
          </c:extLst>
        </c:ser>
        <c:dLbls>
          <c:showLegendKey val="0"/>
          <c:showVal val="0"/>
          <c:showCatName val="0"/>
          <c:showSerName val="0"/>
          <c:showPercent val="0"/>
          <c:showBubbleSize val="0"/>
        </c:dLbls>
        <c:gapWidth val="182"/>
        <c:axId val="650003600"/>
        <c:axId val="650009840"/>
      </c:barChart>
      <c:catAx>
        <c:axId val="6500036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Industry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09840"/>
        <c:crosses val="autoZero"/>
        <c:auto val="1"/>
        <c:lblAlgn val="ctr"/>
        <c:lblOffset val="100"/>
        <c:noMultiLvlLbl val="0"/>
      </c:catAx>
      <c:valAx>
        <c:axId val="650009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Companies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03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[largest_companies.xlsx]Pivot_Tables!PivotTable5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Bracket</a:t>
            </a:r>
            <a:r>
              <a:rPr lang="en-US" baseline="0"/>
              <a:t> by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Pivot_Tables!$B$25</c:f>
              <c:strCache>
                <c:ptCount val="1"/>
                <c:pt idx="0">
                  <c:v>Total</c:v>
                </c:pt>
              </c:strCache>
            </c:strRef>
          </c:tx>
          <c:spPr>
            <a:solidFill>
              <a:schemeClr val="accent2"/>
            </a:solidFill>
            <a:ln>
              <a:noFill/>
            </a:ln>
            <a:effectLst/>
          </c:spPr>
          <c:invertIfNegative val="0"/>
          <c:cat>
            <c:strRef>
              <c:f>Pivot_Tables!$A$26:$A$29</c:f>
              <c:strCache>
                <c:ptCount val="3"/>
                <c:pt idx="0">
                  <c:v>Between $100,000-$500,000</c:v>
                </c:pt>
                <c:pt idx="1">
                  <c:v>Less than $100,000</c:v>
                </c:pt>
                <c:pt idx="2">
                  <c:v>Over $500,000</c:v>
                </c:pt>
              </c:strCache>
            </c:strRef>
          </c:cat>
          <c:val>
            <c:numRef>
              <c:f>Pivot_Tables!$B$26:$B$29</c:f>
              <c:numCache>
                <c:formatCode>General</c:formatCode>
                <c:ptCount val="3"/>
                <c:pt idx="0">
                  <c:v>39</c:v>
                </c:pt>
                <c:pt idx="1">
                  <c:v>59</c:v>
                </c:pt>
                <c:pt idx="2">
                  <c:v>2</c:v>
                </c:pt>
              </c:numCache>
            </c:numRef>
          </c:val>
          <c:extLst>
            <c:ext xmlns:c16="http://schemas.microsoft.com/office/drawing/2014/chart" uri="{C3380CC4-5D6E-409C-BE32-E72D297353CC}">
              <c16:uniqueId val="{00000000-14FF-47A5-B1F3-F3C0EBE38959}"/>
            </c:ext>
          </c:extLst>
        </c:ser>
        <c:dLbls>
          <c:showLegendKey val="0"/>
          <c:showVal val="0"/>
          <c:showCatName val="0"/>
          <c:showSerName val="0"/>
          <c:showPercent val="0"/>
          <c:showBubbleSize val="0"/>
        </c:dLbls>
        <c:gapWidth val="219"/>
        <c:overlap val="-27"/>
        <c:axId val="385708639"/>
        <c:axId val="385711519"/>
      </c:barChart>
      <c:catAx>
        <c:axId val="385708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711519"/>
        <c:crosses val="autoZero"/>
        <c:auto val="1"/>
        <c:lblAlgn val="ctr"/>
        <c:lblOffset val="100"/>
        <c:noMultiLvlLbl val="0"/>
      </c:catAx>
      <c:valAx>
        <c:axId val="385711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Companies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70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[largest_companies.xlsx]Pivot_Tables!PivotTable6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Growth</a:t>
            </a:r>
            <a:r>
              <a:rPr lang="en-US" baseline="0"/>
              <a:t> of the Largest </a:t>
            </a:r>
            <a:r>
              <a:rPr lang="en-US"/>
              <a:t>American</a:t>
            </a:r>
            <a:r>
              <a:rPr lang="en-US" baseline="0"/>
              <a:t> Companies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Pivot_Tables!$B$44</c:f>
              <c:strCache>
                <c:ptCount val="1"/>
                <c:pt idx="0">
                  <c:v>Total</c:v>
                </c:pt>
              </c:strCache>
            </c:strRef>
          </c:tx>
          <c:spPr>
            <a:solidFill>
              <a:schemeClr val="accent6"/>
            </a:solidFill>
            <a:ln>
              <a:noFill/>
            </a:ln>
            <a:effectLst/>
          </c:spPr>
          <c:invertIfNegative val="0"/>
          <c:cat>
            <c:strRef>
              <c:f>Pivot_Tables!$A$45:$A$47</c:f>
              <c:strCache>
                <c:ptCount val="2"/>
                <c:pt idx="0">
                  <c:v>Negative Growth</c:v>
                </c:pt>
                <c:pt idx="1">
                  <c:v>Positive Growth</c:v>
                </c:pt>
              </c:strCache>
            </c:strRef>
          </c:cat>
          <c:val>
            <c:numRef>
              <c:f>Pivot_Tables!$B$45:$B$47</c:f>
              <c:numCache>
                <c:formatCode>General</c:formatCode>
                <c:ptCount val="2"/>
                <c:pt idx="0">
                  <c:v>19</c:v>
                </c:pt>
                <c:pt idx="1">
                  <c:v>81</c:v>
                </c:pt>
              </c:numCache>
            </c:numRef>
          </c:val>
          <c:extLst>
            <c:ext xmlns:c16="http://schemas.microsoft.com/office/drawing/2014/chart" uri="{C3380CC4-5D6E-409C-BE32-E72D297353CC}">
              <c16:uniqueId val="{00000000-2F9A-4F36-AB20-960317E3F020}"/>
            </c:ext>
          </c:extLst>
        </c:ser>
        <c:dLbls>
          <c:showLegendKey val="0"/>
          <c:showVal val="0"/>
          <c:showCatName val="0"/>
          <c:showSerName val="0"/>
          <c:showPercent val="0"/>
          <c:showBubbleSize val="0"/>
        </c:dLbls>
        <c:gapWidth val="219"/>
        <c:overlap val="-27"/>
        <c:axId val="721071584"/>
        <c:axId val="49533231"/>
      </c:barChart>
      <c:catAx>
        <c:axId val="721071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Growth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33231"/>
        <c:crosses val="autoZero"/>
        <c:auto val="1"/>
        <c:lblAlgn val="ctr"/>
        <c:lblOffset val="100"/>
        <c:noMultiLvlLbl val="0"/>
      </c:catAx>
      <c:valAx>
        <c:axId val="49533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Companies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0715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Growth vs Total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working_largest_companies!$I$1</c:f>
              <c:strCache>
                <c:ptCount val="1"/>
                <c:pt idx="0">
                  <c:v>Employees</c:v>
                </c:pt>
              </c:strCache>
            </c:strRef>
          </c:tx>
          <c:spPr>
            <a:ln w="38100" cap="rnd">
              <a:noFill/>
              <a:round/>
            </a:ln>
            <a:effectLst/>
          </c:spPr>
          <c:marker>
            <c:symbol val="circle"/>
            <c:size val="5"/>
            <c:spPr>
              <a:solidFill>
                <a:schemeClr val="accent5"/>
              </a:solidFill>
              <a:ln w="9525">
                <a:solidFill>
                  <a:schemeClr val="accent5"/>
                </a:solidFill>
              </a:ln>
              <a:effectLst/>
            </c:spPr>
          </c:marker>
          <c:xVal>
            <c:numRef>
              <c:f>working_largest_companies!$G$2:$G$101</c:f>
              <c:numCache>
                <c:formatCode>0.00%</c:formatCode>
                <c:ptCount val="100"/>
                <c:pt idx="0">
                  <c:v>5.0999999999999997E-2</c:v>
                </c:pt>
                <c:pt idx="1">
                  <c:v>0.11</c:v>
                </c:pt>
                <c:pt idx="2">
                  <c:v>7.6999999999999999E-2</c:v>
                </c:pt>
                <c:pt idx="3">
                  <c:v>0.02</c:v>
                </c:pt>
                <c:pt idx="4">
                  <c:v>4.2000000000000003E-2</c:v>
                </c:pt>
                <c:pt idx="5">
                  <c:v>1.9E-2</c:v>
                </c:pt>
                <c:pt idx="6">
                  <c:v>0.13900000000000001</c:v>
                </c:pt>
                <c:pt idx="7">
                  <c:v>1.4999999999999999E-2</c:v>
                </c:pt>
                <c:pt idx="8">
                  <c:v>0.11700000000000001</c:v>
                </c:pt>
                <c:pt idx="9">
                  <c:v>0.121</c:v>
                </c:pt>
                <c:pt idx="10">
                  <c:v>0.16500000000000001</c:v>
                </c:pt>
                <c:pt idx="11">
                  <c:v>0.05</c:v>
                </c:pt>
                <c:pt idx="12">
                  <c:v>0.26600000000000001</c:v>
                </c:pt>
                <c:pt idx="13">
                  <c:v>0.157</c:v>
                </c:pt>
                <c:pt idx="14">
                  <c:v>0.106</c:v>
                </c:pt>
                <c:pt idx="15">
                  <c:v>8.9999999999999993E-3</c:v>
                </c:pt>
                <c:pt idx="16">
                  <c:v>0.11899999999999999</c:v>
                </c:pt>
                <c:pt idx="17">
                  <c:v>9.0999999999999998E-2</c:v>
                </c:pt>
                <c:pt idx="18">
                  <c:v>0.05</c:v>
                </c:pt>
                <c:pt idx="19">
                  <c:v>3.3000000000000002E-2</c:v>
                </c:pt>
                <c:pt idx="20">
                  <c:v>8.8999999999999996E-2</c:v>
                </c:pt>
                <c:pt idx="21">
                  <c:v>0.219</c:v>
                </c:pt>
                <c:pt idx="22">
                  <c:v>5.8999999999999997E-2</c:v>
                </c:pt>
                <c:pt idx="23">
                  <c:v>4.4999999999999998E-2</c:v>
                </c:pt>
                <c:pt idx="24">
                  <c:v>8.1000000000000003E-2</c:v>
                </c:pt>
                <c:pt idx="25">
                  <c:v>6.2E-2</c:v>
                </c:pt>
                <c:pt idx="26">
                  <c:v>-1.9E-2</c:v>
                </c:pt>
                <c:pt idx="27">
                  <c:v>-2.9000000000000001E-2</c:v>
                </c:pt>
                <c:pt idx="28">
                  <c:v>-6.6000000000000003E-2</c:v>
                </c:pt>
                <c:pt idx="29">
                  <c:v>6.0000000000000001E-3</c:v>
                </c:pt>
                <c:pt idx="30">
                  <c:v>1.1419999999999999</c:v>
                </c:pt>
                <c:pt idx="31">
                  <c:v>0.17</c:v>
                </c:pt>
                <c:pt idx="32">
                  <c:v>8.6999999999999994E-2</c:v>
                </c:pt>
                <c:pt idx="33">
                  <c:v>-0.108</c:v>
                </c:pt>
                <c:pt idx="34">
                  <c:v>1.7999999999999999E-2</c:v>
                </c:pt>
                <c:pt idx="35">
                  <c:v>0.18</c:v>
                </c:pt>
                <c:pt idx="36">
                  <c:v>-1E-3</c:v>
                </c:pt>
                <c:pt idx="37">
                  <c:v>0.13</c:v>
                </c:pt>
                <c:pt idx="38">
                  <c:v>0.107</c:v>
                </c:pt>
                <c:pt idx="39">
                  <c:v>0.115</c:v>
                </c:pt>
                <c:pt idx="40">
                  <c:v>-8.0000000000000002E-3</c:v>
                </c:pt>
                <c:pt idx="41">
                  <c:v>0.64100000000000001</c:v>
                </c:pt>
                <c:pt idx="42">
                  <c:v>8.9999999999999993E-3</c:v>
                </c:pt>
                <c:pt idx="43">
                  <c:v>8.1000000000000003E-2</c:v>
                </c:pt>
                <c:pt idx="44">
                  <c:v>4.0000000000000001E-3</c:v>
                </c:pt>
                <c:pt idx="45">
                  <c:v>2.8000000000000001E-2</c:v>
                </c:pt>
                <c:pt idx="46">
                  <c:v>1E-3</c:v>
                </c:pt>
                <c:pt idx="47">
                  <c:v>-6.7000000000000004E-2</c:v>
                </c:pt>
                <c:pt idx="48">
                  <c:v>-2.7E-2</c:v>
                </c:pt>
                <c:pt idx="49">
                  <c:v>-8.8999999999999996E-2</c:v>
                </c:pt>
                <c:pt idx="50">
                  <c:v>2.5000000000000001E-2</c:v>
                </c:pt>
                <c:pt idx="51">
                  <c:v>-3.1E-2</c:v>
                </c:pt>
                <c:pt idx="52">
                  <c:v>5.1999999999999998E-2</c:v>
                </c:pt>
                <c:pt idx="53">
                  <c:v>0.17100000000000001</c:v>
                </c:pt>
                <c:pt idx="54">
                  <c:v>0.02</c:v>
                </c:pt>
                <c:pt idx="55">
                  <c:v>3.3000000000000002E-2</c:v>
                </c:pt>
                <c:pt idx="56">
                  <c:v>0.214</c:v>
                </c:pt>
                <c:pt idx="57">
                  <c:v>0.10100000000000001</c:v>
                </c:pt>
                <c:pt idx="58">
                  <c:v>5.0999999999999997E-2</c:v>
                </c:pt>
                <c:pt idx="59">
                  <c:v>6.0999999999999999E-2</c:v>
                </c:pt>
                <c:pt idx="60">
                  <c:v>8.6999999999999994E-2</c:v>
                </c:pt>
                <c:pt idx="61">
                  <c:v>0.30399999999999999</c:v>
                </c:pt>
                <c:pt idx="62">
                  <c:v>-0.14499999999999999</c:v>
                </c:pt>
                <c:pt idx="63">
                  <c:v>-3.4000000000000002E-2</c:v>
                </c:pt>
                <c:pt idx="64">
                  <c:v>6.7000000000000004E-2</c:v>
                </c:pt>
                <c:pt idx="65">
                  <c:v>0.123</c:v>
                </c:pt>
                <c:pt idx="66">
                  <c:v>8.7999999999999995E-2</c:v>
                </c:pt>
                <c:pt idx="67">
                  <c:v>1.4E-2</c:v>
                </c:pt>
                <c:pt idx="68">
                  <c:v>0.153</c:v>
                </c:pt>
                <c:pt idx="69">
                  <c:v>6.2E-2</c:v>
                </c:pt>
                <c:pt idx="70">
                  <c:v>4.5999999999999999E-2</c:v>
                </c:pt>
                <c:pt idx="71">
                  <c:v>7.3999999999999996E-2</c:v>
                </c:pt>
                <c:pt idx="72">
                  <c:v>1.6E-2</c:v>
                </c:pt>
                <c:pt idx="73">
                  <c:v>6.2E-2</c:v>
                </c:pt>
                <c:pt idx="74">
                  <c:v>-2.8000000000000001E-2</c:v>
                </c:pt>
                <c:pt idx="75">
                  <c:v>0.04</c:v>
                </c:pt>
                <c:pt idx="76">
                  <c:v>3.6999999999999998E-2</c:v>
                </c:pt>
                <c:pt idx="77">
                  <c:v>0.13100000000000001</c:v>
                </c:pt>
                <c:pt idx="78">
                  <c:v>8.9999999999999993E-3</c:v>
                </c:pt>
                <c:pt idx="79">
                  <c:v>2.5000000000000001E-2</c:v>
                </c:pt>
                <c:pt idx="80">
                  <c:v>2.7E-2</c:v>
                </c:pt>
                <c:pt idx="81">
                  <c:v>0.09</c:v>
                </c:pt>
                <c:pt idx="82">
                  <c:v>-5.6000000000000001E-2</c:v>
                </c:pt>
                <c:pt idx="83">
                  <c:v>-3.0000000000000001E-3</c:v>
                </c:pt>
                <c:pt idx="84">
                  <c:v>8.0000000000000002E-3</c:v>
                </c:pt>
                <c:pt idx="85">
                  <c:v>-2.1000000000000001E-2</c:v>
                </c:pt>
                <c:pt idx="86">
                  <c:v>0.06</c:v>
                </c:pt>
                <c:pt idx="87">
                  <c:v>0.46400000000000002</c:v>
                </c:pt>
                <c:pt idx="88">
                  <c:v>-0.156</c:v>
                </c:pt>
                <c:pt idx="89">
                  <c:v>3.0000000000000001E-3</c:v>
                </c:pt>
                <c:pt idx="90">
                  <c:v>-4.1000000000000002E-2</c:v>
                </c:pt>
                <c:pt idx="91">
                  <c:v>2.8000000000000001E-2</c:v>
                </c:pt>
                <c:pt idx="92">
                  <c:v>0.14299999999999999</c:v>
                </c:pt>
                <c:pt idx="93">
                  <c:v>7.2999999999999995E-2</c:v>
                </c:pt>
                <c:pt idx="94">
                  <c:v>-1E-3</c:v>
                </c:pt>
                <c:pt idx="95">
                  <c:v>0.129</c:v>
                </c:pt>
                <c:pt idx="96">
                  <c:v>2.9000000000000001E-2</c:v>
                </c:pt>
                <c:pt idx="97">
                  <c:v>2.5999999999999999E-2</c:v>
                </c:pt>
                <c:pt idx="98">
                  <c:v>0.122</c:v>
                </c:pt>
                <c:pt idx="99">
                  <c:v>0.32</c:v>
                </c:pt>
              </c:numCache>
            </c:numRef>
          </c:xVal>
          <c:yVal>
            <c:numRef>
              <c:f>working_largest_companies!$I$2:$I$101</c:f>
              <c:numCache>
                <c:formatCode>0</c:formatCode>
                <c:ptCount val="100"/>
                <c:pt idx="0">
                  <c:v>2100000</c:v>
                </c:pt>
                <c:pt idx="1">
                  <c:v>1556000</c:v>
                </c:pt>
                <c:pt idx="2">
                  <c:v>400000</c:v>
                </c:pt>
                <c:pt idx="3">
                  <c:v>164000</c:v>
                </c:pt>
                <c:pt idx="4">
                  <c:v>259500</c:v>
                </c:pt>
                <c:pt idx="5">
                  <c:v>392400</c:v>
                </c:pt>
                <c:pt idx="6">
                  <c:v>183323</c:v>
                </c:pt>
                <c:pt idx="7">
                  <c:v>60900</c:v>
                </c:pt>
                <c:pt idx="8">
                  <c:v>48000</c:v>
                </c:pt>
                <c:pt idx="9">
                  <c:v>44000</c:v>
                </c:pt>
                <c:pt idx="10">
                  <c:v>317233</c:v>
                </c:pt>
                <c:pt idx="11">
                  <c:v>333000</c:v>
                </c:pt>
                <c:pt idx="12">
                  <c:v>72398</c:v>
                </c:pt>
                <c:pt idx="13">
                  <c:v>228000</c:v>
                </c:pt>
                <c:pt idx="14">
                  <c:v>48411</c:v>
                </c:pt>
                <c:pt idx="15">
                  <c:v>45298</c:v>
                </c:pt>
                <c:pt idx="16">
                  <c:v>213193</c:v>
                </c:pt>
                <c:pt idx="17">
                  <c:v>162000</c:v>
                </c:pt>
                <c:pt idx="18">
                  <c:v>171000</c:v>
                </c:pt>
                <c:pt idx="19">
                  <c:v>103679</c:v>
                </c:pt>
                <c:pt idx="20">
                  <c:v>227855</c:v>
                </c:pt>
                <c:pt idx="21">
                  <c:v>74067</c:v>
                </c:pt>
                <c:pt idx="22">
                  <c:v>60500</c:v>
                </c:pt>
                <c:pt idx="23">
                  <c:v>470100</c:v>
                </c:pt>
                <c:pt idx="24">
                  <c:v>8200</c:v>
                </c:pt>
                <c:pt idx="25">
                  <c:v>252500</c:v>
                </c:pt>
                <c:pt idx="26">
                  <c:v>409000</c:v>
                </c:pt>
                <c:pt idx="27">
                  <c:v>13200</c:v>
                </c:pt>
                <c:pt idx="28">
                  <c:v>18300</c:v>
                </c:pt>
                <c:pt idx="29">
                  <c:v>99600</c:v>
                </c:pt>
                <c:pt idx="30">
                  <c:v>36000</c:v>
                </c:pt>
                <c:pt idx="31">
                  <c:v>46500</c:v>
                </c:pt>
                <c:pt idx="32">
                  <c:v>217502</c:v>
                </c:pt>
                <c:pt idx="33">
                  <c:v>9910</c:v>
                </c:pt>
                <c:pt idx="34">
                  <c:v>182000</c:v>
                </c:pt>
                <c:pt idx="35">
                  <c:v>67381</c:v>
                </c:pt>
                <c:pt idx="36">
                  <c:v>140990</c:v>
                </c:pt>
                <c:pt idx="37">
                  <c:v>8090</c:v>
                </c:pt>
                <c:pt idx="38">
                  <c:v>65680</c:v>
                </c:pt>
                <c:pt idx="39">
                  <c:v>80478</c:v>
                </c:pt>
                <c:pt idx="40">
                  <c:v>440000</c:v>
                </c:pt>
                <c:pt idx="41">
                  <c:v>4500</c:v>
                </c:pt>
                <c:pt idx="42">
                  <c:v>125665</c:v>
                </c:pt>
                <c:pt idx="43">
                  <c:v>108000</c:v>
                </c:pt>
                <c:pt idx="44">
                  <c:v>319000</c:v>
                </c:pt>
                <c:pt idx="45">
                  <c:v>205040</c:v>
                </c:pt>
                <c:pt idx="46">
                  <c:v>372180</c:v>
                </c:pt>
                <c:pt idx="47">
                  <c:v>138100</c:v>
                </c:pt>
                <c:pt idx="48">
                  <c:v>422100</c:v>
                </c:pt>
                <c:pt idx="49">
                  <c:v>43213</c:v>
                </c:pt>
                <c:pt idx="50">
                  <c:v>108000</c:v>
                </c:pt>
                <c:pt idx="51">
                  <c:v>215500</c:v>
                </c:pt>
                <c:pt idx="52">
                  <c:v>16248</c:v>
                </c:pt>
                <c:pt idx="53">
                  <c:v>186000</c:v>
                </c:pt>
                <c:pt idx="54">
                  <c:v>196650</c:v>
                </c:pt>
                <c:pt idx="55">
                  <c:v>76000</c:v>
                </c:pt>
                <c:pt idx="56">
                  <c:v>66308</c:v>
                </c:pt>
                <c:pt idx="57">
                  <c:v>75100</c:v>
                </c:pt>
                <c:pt idx="58">
                  <c:v>121000</c:v>
                </c:pt>
                <c:pt idx="59">
                  <c:v>45000</c:v>
                </c:pt>
                <c:pt idx="60">
                  <c:v>271000</c:v>
                </c:pt>
                <c:pt idx="61">
                  <c:v>37936</c:v>
                </c:pt>
                <c:pt idx="62">
                  <c:v>172000</c:v>
                </c:pt>
                <c:pt idx="63">
                  <c:v>112900</c:v>
                </c:pt>
                <c:pt idx="64">
                  <c:v>74000</c:v>
                </c:pt>
                <c:pt idx="65">
                  <c:v>55200</c:v>
                </c:pt>
                <c:pt idx="66">
                  <c:v>81000</c:v>
                </c:pt>
                <c:pt idx="67">
                  <c:v>284500</c:v>
                </c:pt>
                <c:pt idx="68">
                  <c:v>15131</c:v>
                </c:pt>
                <c:pt idx="69">
                  <c:v>103000</c:v>
                </c:pt>
                <c:pt idx="70">
                  <c:v>255000</c:v>
                </c:pt>
                <c:pt idx="71">
                  <c:v>22453</c:v>
                </c:pt>
                <c:pt idx="72">
                  <c:v>25750</c:v>
                </c:pt>
                <c:pt idx="73">
                  <c:v>107300</c:v>
                </c:pt>
                <c:pt idx="74">
                  <c:v>11800</c:v>
                </c:pt>
                <c:pt idx="75">
                  <c:v>364000</c:v>
                </c:pt>
                <c:pt idx="76">
                  <c:v>55000</c:v>
                </c:pt>
                <c:pt idx="77">
                  <c:v>7800</c:v>
                </c:pt>
                <c:pt idx="78">
                  <c:v>94500</c:v>
                </c:pt>
                <c:pt idx="79">
                  <c:v>36815</c:v>
                </c:pt>
                <c:pt idx="80">
                  <c:v>133300</c:v>
                </c:pt>
                <c:pt idx="81">
                  <c:v>52600</c:v>
                </c:pt>
                <c:pt idx="82">
                  <c:v>90400</c:v>
                </c:pt>
                <c:pt idx="83">
                  <c:v>58000</c:v>
                </c:pt>
                <c:pt idx="84">
                  <c:v>138000</c:v>
                </c:pt>
                <c:pt idx="85">
                  <c:v>108900</c:v>
                </c:pt>
                <c:pt idx="86">
                  <c:v>159000</c:v>
                </c:pt>
                <c:pt idx="87">
                  <c:v>37000</c:v>
                </c:pt>
                <c:pt idx="88">
                  <c:v>55524</c:v>
                </c:pt>
                <c:pt idx="89">
                  <c:v>78400</c:v>
                </c:pt>
                <c:pt idx="90">
                  <c:v>40000</c:v>
                </c:pt>
                <c:pt idx="91">
                  <c:v>4200</c:v>
                </c:pt>
                <c:pt idx="92">
                  <c:v>38018</c:v>
                </c:pt>
                <c:pt idx="93">
                  <c:v>34100</c:v>
                </c:pt>
                <c:pt idx="94">
                  <c:v>26125</c:v>
                </c:pt>
                <c:pt idx="95">
                  <c:v>117000</c:v>
                </c:pt>
                <c:pt idx="96">
                  <c:v>69700</c:v>
                </c:pt>
                <c:pt idx="97">
                  <c:v>15623</c:v>
                </c:pt>
                <c:pt idx="98">
                  <c:v>34000</c:v>
                </c:pt>
                <c:pt idx="99">
                  <c:v>47000</c:v>
                </c:pt>
              </c:numCache>
            </c:numRef>
          </c:yVal>
          <c:smooth val="0"/>
          <c:extLst>
            <c:ext xmlns:c16="http://schemas.microsoft.com/office/drawing/2014/chart" uri="{C3380CC4-5D6E-409C-BE32-E72D297353CC}">
              <c16:uniqueId val="{00000000-A2E4-4D3E-878D-0C762BFDF553}"/>
            </c:ext>
          </c:extLst>
        </c:ser>
        <c:dLbls>
          <c:showLegendKey val="0"/>
          <c:showVal val="0"/>
          <c:showCatName val="0"/>
          <c:showSerName val="0"/>
          <c:showPercent val="0"/>
          <c:showBubbleSize val="0"/>
        </c:dLbls>
        <c:axId val="385680799"/>
        <c:axId val="385686559"/>
      </c:scatterChart>
      <c:valAx>
        <c:axId val="3856807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Growth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686559"/>
        <c:crosses val="autoZero"/>
        <c:crossBetween val="midCat"/>
      </c:valAx>
      <c:valAx>
        <c:axId val="385686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Employees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low"/>
        <c:spPr>
          <a:noFill/>
          <a:ln w="9525" cap="flat" cmpd="sng" algn="ctr">
            <a:solidFill>
              <a:schemeClr val="tx1">
                <a:lumMod val="25000"/>
                <a:lumOff val="75000"/>
              </a:schemeClr>
            </a:solidFill>
            <a:round/>
          </a:ln>
          <a:effectLst/>
        </c:spPr>
        <c:txPr>
          <a:bodyPr rot="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68079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Companies in Each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Pivot_Tables!$B$1</c:f>
              <c:strCache>
                <c:ptCount val="1"/>
                <c:pt idx="0">
                  <c:v>Count of Standardized Industry</c:v>
                </c:pt>
              </c:strCache>
            </c:strRef>
          </c:tx>
          <c:spPr>
            <a:solidFill>
              <a:schemeClr val="accent1"/>
            </a:solidFill>
            <a:ln>
              <a:noFill/>
            </a:ln>
            <a:effectLst/>
          </c:spPr>
          <c:invertIfNegative val="0"/>
          <c:cat>
            <c:strRef>
              <c:extLst>
                <c:ext xmlns:c15="http://schemas.microsoft.com/office/drawing/2012/chart" uri="{02D57815-91ED-43cb-92C2-25804820EDAC}">
                  <c15:fullRef>
                    <c15:sqref>Pivot_Tables!$A$2:$A$22</c15:sqref>
                  </c15:fullRef>
                </c:ext>
              </c:extLst>
              <c:f>Pivot_Tables!$A$2:$A$21</c:f>
              <c:strCache>
                <c:ptCount val="20"/>
                <c:pt idx="0">
                  <c:v>Healthcare</c:v>
                </c:pt>
                <c:pt idx="1">
                  <c:v>Finance</c:v>
                </c:pt>
                <c:pt idx="2">
                  <c:v>Technology</c:v>
                </c:pt>
                <c:pt idx="3">
                  <c:v>Retail</c:v>
                </c:pt>
                <c:pt idx="4">
                  <c:v>Energy / Oil and Gas</c:v>
                </c:pt>
                <c:pt idx="5">
                  <c:v>Insurance</c:v>
                </c:pt>
                <c:pt idx="6">
                  <c:v>Telecommunications</c:v>
                </c:pt>
                <c:pt idx="7">
                  <c:v>Automotive</c:v>
                </c:pt>
                <c:pt idx="8">
                  <c:v>Aerospace and defense</c:v>
                </c:pt>
                <c:pt idx="9">
                  <c:v>Airline</c:v>
                </c:pt>
                <c:pt idx="10">
                  <c:v>Machinery</c:v>
                </c:pt>
                <c:pt idx="11">
                  <c:v>Colglomerate</c:v>
                </c:pt>
                <c:pt idx="12">
                  <c:v>Transportation</c:v>
                </c:pt>
                <c:pt idx="13">
                  <c:v>Food and Beverage</c:v>
                </c:pt>
                <c:pt idx="14">
                  <c:v>Food processing</c:v>
                </c:pt>
                <c:pt idx="15">
                  <c:v>Media</c:v>
                </c:pt>
                <c:pt idx="16">
                  <c:v>Apparel</c:v>
                </c:pt>
                <c:pt idx="17">
                  <c:v>Consumer products manufacturing</c:v>
                </c:pt>
                <c:pt idx="18">
                  <c:v>Food and Agriculture</c:v>
                </c:pt>
                <c:pt idx="19">
                  <c:v>Food Service</c:v>
                </c:pt>
              </c:strCache>
            </c:strRef>
          </c:cat>
          <c:val>
            <c:numRef>
              <c:extLst>
                <c:ext xmlns:c15="http://schemas.microsoft.com/office/drawing/2012/chart" uri="{02D57815-91ED-43cb-92C2-25804820EDAC}">
                  <c15:fullRef>
                    <c15:sqref>Pivot_Tables!$B$2:$B$22</c15:sqref>
                  </c15:fullRef>
                </c:ext>
              </c:extLst>
              <c:f>Pivot_Tables!$B$2:$B$21</c:f>
              <c:numCache>
                <c:formatCode>General</c:formatCode>
                <c:ptCount val="20"/>
                <c:pt idx="0">
                  <c:v>17</c:v>
                </c:pt>
                <c:pt idx="1">
                  <c:v>16</c:v>
                </c:pt>
                <c:pt idx="2">
                  <c:v>14</c:v>
                </c:pt>
                <c:pt idx="3">
                  <c:v>10</c:v>
                </c:pt>
                <c:pt idx="4">
                  <c:v>9</c:v>
                </c:pt>
                <c:pt idx="5">
                  <c:v>6</c:v>
                </c:pt>
                <c:pt idx="6">
                  <c:v>4</c:v>
                </c:pt>
                <c:pt idx="7">
                  <c:v>3</c:v>
                </c:pt>
                <c:pt idx="8">
                  <c:v>3</c:v>
                </c:pt>
                <c:pt idx="9">
                  <c:v>3</c:v>
                </c:pt>
                <c:pt idx="10">
                  <c:v>2</c:v>
                </c:pt>
                <c:pt idx="11">
                  <c:v>2</c:v>
                </c:pt>
                <c:pt idx="12">
                  <c:v>2</c:v>
                </c:pt>
                <c:pt idx="13">
                  <c:v>2</c:v>
                </c:pt>
                <c:pt idx="14">
                  <c:v>2</c:v>
                </c:pt>
                <c:pt idx="15">
                  <c:v>1</c:v>
                </c:pt>
                <c:pt idx="16">
                  <c:v>1</c:v>
                </c:pt>
                <c:pt idx="17">
                  <c:v>1</c:v>
                </c:pt>
                <c:pt idx="18">
                  <c:v>1</c:v>
                </c:pt>
                <c:pt idx="19">
                  <c:v>1</c:v>
                </c:pt>
              </c:numCache>
            </c:numRef>
          </c:val>
          <c:extLst>
            <c:ext xmlns:c16="http://schemas.microsoft.com/office/drawing/2014/chart" uri="{C3380CC4-5D6E-409C-BE32-E72D297353CC}">
              <c16:uniqueId val="{00000000-32EF-4C3D-B078-681C04A7432E}"/>
            </c:ext>
          </c:extLst>
        </c:ser>
        <c:dLbls>
          <c:showLegendKey val="0"/>
          <c:showVal val="0"/>
          <c:showCatName val="0"/>
          <c:showSerName val="0"/>
          <c:showPercent val="0"/>
          <c:showBubbleSize val="0"/>
        </c:dLbls>
        <c:gapWidth val="182"/>
        <c:axId val="650003600"/>
        <c:axId val="650009840"/>
      </c:barChart>
      <c:catAx>
        <c:axId val="6500036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Industry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09840"/>
        <c:crosses val="autoZero"/>
        <c:auto val="1"/>
        <c:lblAlgn val="ctr"/>
        <c:lblOffset val="100"/>
        <c:noMultiLvlLbl val="0"/>
      </c:catAx>
      <c:valAx>
        <c:axId val="650009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Companies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03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[largest_companies.xlsx]Pivot_Tables!PivotTable5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Bracket</a:t>
            </a:r>
            <a:r>
              <a:rPr lang="en-US" baseline="0"/>
              <a:t> by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Pivot_Tables!$B$25</c:f>
              <c:strCache>
                <c:ptCount val="1"/>
                <c:pt idx="0">
                  <c:v>Total</c:v>
                </c:pt>
              </c:strCache>
            </c:strRef>
          </c:tx>
          <c:spPr>
            <a:solidFill>
              <a:schemeClr val="accent2"/>
            </a:solidFill>
            <a:ln>
              <a:noFill/>
            </a:ln>
            <a:effectLst/>
          </c:spPr>
          <c:invertIfNegative val="0"/>
          <c:cat>
            <c:strRef>
              <c:f>Pivot_Tables!$A$26:$A$29</c:f>
              <c:strCache>
                <c:ptCount val="3"/>
                <c:pt idx="0">
                  <c:v>Between $100,000-$500,000</c:v>
                </c:pt>
                <c:pt idx="1">
                  <c:v>Less than $100,000</c:v>
                </c:pt>
                <c:pt idx="2">
                  <c:v>Over $500,000</c:v>
                </c:pt>
              </c:strCache>
            </c:strRef>
          </c:cat>
          <c:val>
            <c:numRef>
              <c:f>Pivot_Tables!$B$26:$B$29</c:f>
              <c:numCache>
                <c:formatCode>General</c:formatCode>
                <c:ptCount val="3"/>
                <c:pt idx="0">
                  <c:v>39</c:v>
                </c:pt>
                <c:pt idx="1">
                  <c:v>59</c:v>
                </c:pt>
                <c:pt idx="2">
                  <c:v>2</c:v>
                </c:pt>
              </c:numCache>
            </c:numRef>
          </c:val>
          <c:extLst>
            <c:ext xmlns:c16="http://schemas.microsoft.com/office/drawing/2014/chart" uri="{C3380CC4-5D6E-409C-BE32-E72D297353CC}">
              <c16:uniqueId val="{00000000-985A-41A3-9992-6D187EBF59A2}"/>
            </c:ext>
          </c:extLst>
        </c:ser>
        <c:dLbls>
          <c:showLegendKey val="0"/>
          <c:showVal val="0"/>
          <c:showCatName val="0"/>
          <c:showSerName val="0"/>
          <c:showPercent val="0"/>
          <c:showBubbleSize val="0"/>
        </c:dLbls>
        <c:gapWidth val="219"/>
        <c:overlap val="-27"/>
        <c:axId val="385708639"/>
        <c:axId val="385711519"/>
      </c:barChart>
      <c:catAx>
        <c:axId val="385708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711519"/>
        <c:crosses val="autoZero"/>
        <c:auto val="1"/>
        <c:lblAlgn val="ctr"/>
        <c:lblOffset val="100"/>
        <c:noMultiLvlLbl val="0"/>
      </c:catAx>
      <c:valAx>
        <c:axId val="385711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Companies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7086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[largest_companies.xlsx]Pivot_Tables!PivotTable6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Growth</a:t>
            </a:r>
            <a:r>
              <a:rPr lang="en-US" baseline="0"/>
              <a:t> of the Largest </a:t>
            </a:r>
            <a:r>
              <a:rPr lang="en-US"/>
              <a:t>American</a:t>
            </a:r>
            <a:r>
              <a:rPr lang="en-US" baseline="0"/>
              <a:t> Companies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Pivot_Tables!$B$44</c:f>
              <c:strCache>
                <c:ptCount val="1"/>
                <c:pt idx="0">
                  <c:v>Total</c:v>
                </c:pt>
              </c:strCache>
            </c:strRef>
          </c:tx>
          <c:spPr>
            <a:solidFill>
              <a:schemeClr val="accent6"/>
            </a:solidFill>
            <a:ln>
              <a:noFill/>
            </a:ln>
            <a:effectLst/>
          </c:spPr>
          <c:invertIfNegative val="0"/>
          <c:cat>
            <c:strRef>
              <c:f>Pivot_Tables!$A$45:$A$47</c:f>
              <c:strCache>
                <c:ptCount val="2"/>
                <c:pt idx="0">
                  <c:v>Negative Growth</c:v>
                </c:pt>
                <c:pt idx="1">
                  <c:v>Positive Growth</c:v>
                </c:pt>
              </c:strCache>
            </c:strRef>
          </c:cat>
          <c:val>
            <c:numRef>
              <c:f>Pivot_Tables!$B$45:$B$47</c:f>
              <c:numCache>
                <c:formatCode>General</c:formatCode>
                <c:ptCount val="2"/>
                <c:pt idx="0">
                  <c:v>19</c:v>
                </c:pt>
                <c:pt idx="1">
                  <c:v>81</c:v>
                </c:pt>
              </c:numCache>
            </c:numRef>
          </c:val>
          <c:extLst>
            <c:ext xmlns:c16="http://schemas.microsoft.com/office/drawing/2014/chart" uri="{C3380CC4-5D6E-409C-BE32-E72D297353CC}">
              <c16:uniqueId val="{00000000-DE50-4497-98BB-59E7AD34F2BF}"/>
            </c:ext>
          </c:extLst>
        </c:ser>
        <c:dLbls>
          <c:showLegendKey val="0"/>
          <c:showVal val="0"/>
          <c:showCatName val="0"/>
          <c:showSerName val="0"/>
          <c:showPercent val="0"/>
          <c:showBubbleSize val="0"/>
        </c:dLbls>
        <c:gapWidth val="219"/>
        <c:overlap val="-27"/>
        <c:axId val="721071584"/>
        <c:axId val="49533231"/>
      </c:barChart>
      <c:catAx>
        <c:axId val="721071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Growth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33231"/>
        <c:crosses val="autoZero"/>
        <c:auto val="1"/>
        <c:lblAlgn val="ctr"/>
        <c:lblOffset val="100"/>
        <c:noMultiLvlLbl val="0"/>
      </c:catAx>
      <c:valAx>
        <c:axId val="49533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Companies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0715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Growth vs Total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working_largest_companies!$I$1</c:f>
              <c:strCache>
                <c:ptCount val="1"/>
                <c:pt idx="0">
                  <c:v>Employees</c:v>
                </c:pt>
              </c:strCache>
            </c:strRef>
          </c:tx>
          <c:spPr>
            <a:ln w="38100" cap="rnd">
              <a:noFill/>
              <a:round/>
            </a:ln>
            <a:effectLst/>
          </c:spPr>
          <c:marker>
            <c:symbol val="circle"/>
            <c:size val="5"/>
            <c:spPr>
              <a:solidFill>
                <a:schemeClr val="accent5"/>
              </a:solidFill>
              <a:ln w="9525">
                <a:solidFill>
                  <a:schemeClr val="accent5"/>
                </a:solidFill>
              </a:ln>
              <a:effectLst/>
            </c:spPr>
          </c:marker>
          <c:xVal>
            <c:numRef>
              <c:f>working_largest_companies!$G$2:$G$101</c:f>
              <c:numCache>
                <c:formatCode>0.00%</c:formatCode>
                <c:ptCount val="100"/>
                <c:pt idx="0">
                  <c:v>5.0999999999999997E-2</c:v>
                </c:pt>
                <c:pt idx="1">
                  <c:v>0.11</c:v>
                </c:pt>
                <c:pt idx="2">
                  <c:v>7.6999999999999999E-2</c:v>
                </c:pt>
                <c:pt idx="3">
                  <c:v>0.02</c:v>
                </c:pt>
                <c:pt idx="4">
                  <c:v>4.2000000000000003E-2</c:v>
                </c:pt>
                <c:pt idx="5">
                  <c:v>1.9E-2</c:v>
                </c:pt>
                <c:pt idx="6">
                  <c:v>0.13900000000000001</c:v>
                </c:pt>
                <c:pt idx="7">
                  <c:v>1.4999999999999999E-2</c:v>
                </c:pt>
                <c:pt idx="8">
                  <c:v>0.11700000000000001</c:v>
                </c:pt>
                <c:pt idx="9">
                  <c:v>0.121</c:v>
                </c:pt>
                <c:pt idx="10">
                  <c:v>0.16500000000000001</c:v>
                </c:pt>
                <c:pt idx="11">
                  <c:v>0.05</c:v>
                </c:pt>
                <c:pt idx="12">
                  <c:v>0.26600000000000001</c:v>
                </c:pt>
                <c:pt idx="13">
                  <c:v>0.157</c:v>
                </c:pt>
                <c:pt idx="14">
                  <c:v>0.106</c:v>
                </c:pt>
                <c:pt idx="15">
                  <c:v>8.9999999999999993E-3</c:v>
                </c:pt>
                <c:pt idx="16">
                  <c:v>0.11899999999999999</c:v>
                </c:pt>
                <c:pt idx="17">
                  <c:v>9.0999999999999998E-2</c:v>
                </c:pt>
                <c:pt idx="18">
                  <c:v>0.05</c:v>
                </c:pt>
                <c:pt idx="19">
                  <c:v>3.3000000000000002E-2</c:v>
                </c:pt>
                <c:pt idx="20">
                  <c:v>8.8999999999999996E-2</c:v>
                </c:pt>
                <c:pt idx="21">
                  <c:v>0.219</c:v>
                </c:pt>
                <c:pt idx="22">
                  <c:v>5.8999999999999997E-2</c:v>
                </c:pt>
                <c:pt idx="23">
                  <c:v>4.4999999999999998E-2</c:v>
                </c:pt>
                <c:pt idx="24">
                  <c:v>8.1000000000000003E-2</c:v>
                </c:pt>
                <c:pt idx="25">
                  <c:v>6.2E-2</c:v>
                </c:pt>
                <c:pt idx="26">
                  <c:v>-1.9E-2</c:v>
                </c:pt>
                <c:pt idx="27">
                  <c:v>-2.9000000000000001E-2</c:v>
                </c:pt>
                <c:pt idx="28">
                  <c:v>-6.6000000000000003E-2</c:v>
                </c:pt>
                <c:pt idx="29">
                  <c:v>6.0000000000000001E-3</c:v>
                </c:pt>
                <c:pt idx="30">
                  <c:v>1.1419999999999999</c:v>
                </c:pt>
                <c:pt idx="31">
                  <c:v>0.17</c:v>
                </c:pt>
                <c:pt idx="32">
                  <c:v>8.6999999999999994E-2</c:v>
                </c:pt>
                <c:pt idx="33">
                  <c:v>-0.108</c:v>
                </c:pt>
                <c:pt idx="34">
                  <c:v>1.7999999999999999E-2</c:v>
                </c:pt>
                <c:pt idx="35">
                  <c:v>0.18</c:v>
                </c:pt>
                <c:pt idx="36">
                  <c:v>-1E-3</c:v>
                </c:pt>
                <c:pt idx="37">
                  <c:v>0.13</c:v>
                </c:pt>
                <c:pt idx="38">
                  <c:v>0.107</c:v>
                </c:pt>
                <c:pt idx="39">
                  <c:v>0.115</c:v>
                </c:pt>
                <c:pt idx="40">
                  <c:v>-8.0000000000000002E-3</c:v>
                </c:pt>
                <c:pt idx="41">
                  <c:v>0.64100000000000001</c:v>
                </c:pt>
                <c:pt idx="42">
                  <c:v>8.9999999999999993E-3</c:v>
                </c:pt>
                <c:pt idx="43">
                  <c:v>8.1000000000000003E-2</c:v>
                </c:pt>
                <c:pt idx="44">
                  <c:v>4.0000000000000001E-3</c:v>
                </c:pt>
                <c:pt idx="45">
                  <c:v>2.8000000000000001E-2</c:v>
                </c:pt>
                <c:pt idx="46">
                  <c:v>1E-3</c:v>
                </c:pt>
                <c:pt idx="47">
                  <c:v>-6.7000000000000004E-2</c:v>
                </c:pt>
                <c:pt idx="48">
                  <c:v>-2.7E-2</c:v>
                </c:pt>
                <c:pt idx="49">
                  <c:v>-8.8999999999999996E-2</c:v>
                </c:pt>
                <c:pt idx="50">
                  <c:v>2.5000000000000001E-2</c:v>
                </c:pt>
                <c:pt idx="51">
                  <c:v>-3.1E-2</c:v>
                </c:pt>
                <c:pt idx="52">
                  <c:v>5.1999999999999998E-2</c:v>
                </c:pt>
                <c:pt idx="53">
                  <c:v>0.17100000000000001</c:v>
                </c:pt>
                <c:pt idx="54">
                  <c:v>0.02</c:v>
                </c:pt>
                <c:pt idx="55">
                  <c:v>3.3000000000000002E-2</c:v>
                </c:pt>
                <c:pt idx="56">
                  <c:v>0.214</c:v>
                </c:pt>
                <c:pt idx="57">
                  <c:v>0.10100000000000001</c:v>
                </c:pt>
                <c:pt idx="58">
                  <c:v>5.0999999999999997E-2</c:v>
                </c:pt>
                <c:pt idx="59">
                  <c:v>6.0999999999999999E-2</c:v>
                </c:pt>
                <c:pt idx="60">
                  <c:v>8.6999999999999994E-2</c:v>
                </c:pt>
                <c:pt idx="61">
                  <c:v>0.30399999999999999</c:v>
                </c:pt>
                <c:pt idx="62">
                  <c:v>-0.14499999999999999</c:v>
                </c:pt>
                <c:pt idx="63">
                  <c:v>-3.4000000000000002E-2</c:v>
                </c:pt>
                <c:pt idx="64">
                  <c:v>6.7000000000000004E-2</c:v>
                </c:pt>
                <c:pt idx="65">
                  <c:v>0.123</c:v>
                </c:pt>
                <c:pt idx="66">
                  <c:v>8.7999999999999995E-2</c:v>
                </c:pt>
                <c:pt idx="67">
                  <c:v>1.4E-2</c:v>
                </c:pt>
                <c:pt idx="68">
                  <c:v>0.153</c:v>
                </c:pt>
                <c:pt idx="69">
                  <c:v>6.2E-2</c:v>
                </c:pt>
                <c:pt idx="70">
                  <c:v>4.5999999999999999E-2</c:v>
                </c:pt>
                <c:pt idx="71">
                  <c:v>7.3999999999999996E-2</c:v>
                </c:pt>
                <c:pt idx="72">
                  <c:v>1.6E-2</c:v>
                </c:pt>
                <c:pt idx="73">
                  <c:v>6.2E-2</c:v>
                </c:pt>
                <c:pt idx="74">
                  <c:v>-2.8000000000000001E-2</c:v>
                </c:pt>
                <c:pt idx="75">
                  <c:v>0.04</c:v>
                </c:pt>
                <c:pt idx="76">
                  <c:v>3.6999999999999998E-2</c:v>
                </c:pt>
                <c:pt idx="77">
                  <c:v>0.13100000000000001</c:v>
                </c:pt>
                <c:pt idx="78">
                  <c:v>8.9999999999999993E-3</c:v>
                </c:pt>
                <c:pt idx="79">
                  <c:v>2.5000000000000001E-2</c:v>
                </c:pt>
                <c:pt idx="80">
                  <c:v>2.7E-2</c:v>
                </c:pt>
                <c:pt idx="81">
                  <c:v>0.09</c:v>
                </c:pt>
                <c:pt idx="82">
                  <c:v>-5.6000000000000001E-2</c:v>
                </c:pt>
                <c:pt idx="83">
                  <c:v>-3.0000000000000001E-3</c:v>
                </c:pt>
                <c:pt idx="84">
                  <c:v>8.0000000000000002E-3</c:v>
                </c:pt>
                <c:pt idx="85">
                  <c:v>-2.1000000000000001E-2</c:v>
                </c:pt>
                <c:pt idx="86">
                  <c:v>0.06</c:v>
                </c:pt>
                <c:pt idx="87">
                  <c:v>0.46400000000000002</c:v>
                </c:pt>
                <c:pt idx="88">
                  <c:v>-0.156</c:v>
                </c:pt>
                <c:pt idx="89">
                  <c:v>3.0000000000000001E-3</c:v>
                </c:pt>
                <c:pt idx="90">
                  <c:v>-4.1000000000000002E-2</c:v>
                </c:pt>
                <c:pt idx="91">
                  <c:v>2.8000000000000001E-2</c:v>
                </c:pt>
                <c:pt idx="92">
                  <c:v>0.14299999999999999</c:v>
                </c:pt>
                <c:pt idx="93">
                  <c:v>7.2999999999999995E-2</c:v>
                </c:pt>
                <c:pt idx="94">
                  <c:v>-1E-3</c:v>
                </c:pt>
                <c:pt idx="95">
                  <c:v>0.129</c:v>
                </c:pt>
                <c:pt idx="96">
                  <c:v>2.9000000000000001E-2</c:v>
                </c:pt>
                <c:pt idx="97">
                  <c:v>2.5999999999999999E-2</c:v>
                </c:pt>
                <c:pt idx="98">
                  <c:v>0.122</c:v>
                </c:pt>
                <c:pt idx="99">
                  <c:v>0.32</c:v>
                </c:pt>
              </c:numCache>
            </c:numRef>
          </c:xVal>
          <c:yVal>
            <c:numRef>
              <c:f>working_largest_companies!$I$2:$I$101</c:f>
              <c:numCache>
                <c:formatCode>0</c:formatCode>
                <c:ptCount val="100"/>
                <c:pt idx="0">
                  <c:v>2100000</c:v>
                </c:pt>
                <c:pt idx="1">
                  <c:v>1556000</c:v>
                </c:pt>
                <c:pt idx="2">
                  <c:v>400000</c:v>
                </c:pt>
                <c:pt idx="3">
                  <c:v>164000</c:v>
                </c:pt>
                <c:pt idx="4">
                  <c:v>259500</c:v>
                </c:pt>
                <c:pt idx="5">
                  <c:v>392400</c:v>
                </c:pt>
                <c:pt idx="6">
                  <c:v>183323</c:v>
                </c:pt>
                <c:pt idx="7">
                  <c:v>60900</c:v>
                </c:pt>
                <c:pt idx="8">
                  <c:v>48000</c:v>
                </c:pt>
                <c:pt idx="9">
                  <c:v>44000</c:v>
                </c:pt>
                <c:pt idx="10">
                  <c:v>317233</c:v>
                </c:pt>
                <c:pt idx="11">
                  <c:v>333000</c:v>
                </c:pt>
                <c:pt idx="12">
                  <c:v>72398</c:v>
                </c:pt>
                <c:pt idx="13">
                  <c:v>228000</c:v>
                </c:pt>
                <c:pt idx="14">
                  <c:v>48411</c:v>
                </c:pt>
                <c:pt idx="15">
                  <c:v>45298</c:v>
                </c:pt>
                <c:pt idx="16">
                  <c:v>213193</c:v>
                </c:pt>
                <c:pt idx="17">
                  <c:v>162000</c:v>
                </c:pt>
                <c:pt idx="18">
                  <c:v>171000</c:v>
                </c:pt>
                <c:pt idx="19">
                  <c:v>103679</c:v>
                </c:pt>
                <c:pt idx="20">
                  <c:v>227855</c:v>
                </c:pt>
                <c:pt idx="21">
                  <c:v>74067</c:v>
                </c:pt>
                <c:pt idx="22">
                  <c:v>60500</c:v>
                </c:pt>
                <c:pt idx="23">
                  <c:v>470100</c:v>
                </c:pt>
                <c:pt idx="24">
                  <c:v>8200</c:v>
                </c:pt>
                <c:pt idx="25">
                  <c:v>252500</c:v>
                </c:pt>
                <c:pt idx="26">
                  <c:v>409000</c:v>
                </c:pt>
                <c:pt idx="27">
                  <c:v>13200</c:v>
                </c:pt>
                <c:pt idx="28">
                  <c:v>18300</c:v>
                </c:pt>
                <c:pt idx="29">
                  <c:v>99600</c:v>
                </c:pt>
                <c:pt idx="30">
                  <c:v>36000</c:v>
                </c:pt>
                <c:pt idx="31">
                  <c:v>46500</c:v>
                </c:pt>
                <c:pt idx="32">
                  <c:v>217502</c:v>
                </c:pt>
                <c:pt idx="33">
                  <c:v>9910</c:v>
                </c:pt>
                <c:pt idx="34">
                  <c:v>182000</c:v>
                </c:pt>
                <c:pt idx="35">
                  <c:v>67381</c:v>
                </c:pt>
                <c:pt idx="36">
                  <c:v>140990</c:v>
                </c:pt>
                <c:pt idx="37">
                  <c:v>8090</c:v>
                </c:pt>
                <c:pt idx="38">
                  <c:v>65680</c:v>
                </c:pt>
                <c:pt idx="39">
                  <c:v>80478</c:v>
                </c:pt>
                <c:pt idx="40">
                  <c:v>440000</c:v>
                </c:pt>
                <c:pt idx="41">
                  <c:v>4500</c:v>
                </c:pt>
                <c:pt idx="42">
                  <c:v>125665</c:v>
                </c:pt>
                <c:pt idx="43">
                  <c:v>108000</c:v>
                </c:pt>
                <c:pt idx="44">
                  <c:v>319000</c:v>
                </c:pt>
                <c:pt idx="45">
                  <c:v>205040</c:v>
                </c:pt>
                <c:pt idx="46">
                  <c:v>372180</c:v>
                </c:pt>
                <c:pt idx="47">
                  <c:v>138100</c:v>
                </c:pt>
                <c:pt idx="48">
                  <c:v>422100</c:v>
                </c:pt>
                <c:pt idx="49">
                  <c:v>43213</c:v>
                </c:pt>
                <c:pt idx="50">
                  <c:v>108000</c:v>
                </c:pt>
                <c:pt idx="51">
                  <c:v>215500</c:v>
                </c:pt>
                <c:pt idx="52">
                  <c:v>16248</c:v>
                </c:pt>
                <c:pt idx="53">
                  <c:v>186000</c:v>
                </c:pt>
                <c:pt idx="54">
                  <c:v>196650</c:v>
                </c:pt>
                <c:pt idx="55">
                  <c:v>76000</c:v>
                </c:pt>
                <c:pt idx="56">
                  <c:v>66308</c:v>
                </c:pt>
                <c:pt idx="57">
                  <c:v>75100</c:v>
                </c:pt>
                <c:pt idx="58">
                  <c:v>121000</c:v>
                </c:pt>
                <c:pt idx="59">
                  <c:v>45000</c:v>
                </c:pt>
                <c:pt idx="60">
                  <c:v>271000</c:v>
                </c:pt>
                <c:pt idx="61">
                  <c:v>37936</c:v>
                </c:pt>
                <c:pt idx="62">
                  <c:v>172000</c:v>
                </c:pt>
                <c:pt idx="63">
                  <c:v>112900</c:v>
                </c:pt>
                <c:pt idx="64">
                  <c:v>74000</c:v>
                </c:pt>
                <c:pt idx="65">
                  <c:v>55200</c:v>
                </c:pt>
                <c:pt idx="66">
                  <c:v>81000</c:v>
                </c:pt>
                <c:pt idx="67">
                  <c:v>284500</c:v>
                </c:pt>
                <c:pt idx="68">
                  <c:v>15131</c:v>
                </c:pt>
                <c:pt idx="69">
                  <c:v>103000</c:v>
                </c:pt>
                <c:pt idx="70">
                  <c:v>255000</c:v>
                </c:pt>
                <c:pt idx="71">
                  <c:v>22453</c:v>
                </c:pt>
                <c:pt idx="72">
                  <c:v>25750</c:v>
                </c:pt>
                <c:pt idx="73">
                  <c:v>107300</c:v>
                </c:pt>
                <c:pt idx="74">
                  <c:v>11800</c:v>
                </c:pt>
                <c:pt idx="75">
                  <c:v>364000</c:v>
                </c:pt>
                <c:pt idx="76">
                  <c:v>55000</c:v>
                </c:pt>
                <c:pt idx="77">
                  <c:v>7800</c:v>
                </c:pt>
                <c:pt idx="78">
                  <c:v>94500</c:v>
                </c:pt>
                <c:pt idx="79">
                  <c:v>36815</c:v>
                </c:pt>
                <c:pt idx="80">
                  <c:v>133300</c:v>
                </c:pt>
                <c:pt idx="81">
                  <c:v>52600</c:v>
                </c:pt>
                <c:pt idx="82">
                  <c:v>90400</c:v>
                </c:pt>
                <c:pt idx="83">
                  <c:v>58000</c:v>
                </c:pt>
                <c:pt idx="84">
                  <c:v>138000</c:v>
                </c:pt>
                <c:pt idx="85">
                  <c:v>108900</c:v>
                </c:pt>
                <c:pt idx="86">
                  <c:v>159000</c:v>
                </c:pt>
                <c:pt idx="87">
                  <c:v>37000</c:v>
                </c:pt>
                <c:pt idx="88">
                  <c:v>55524</c:v>
                </c:pt>
                <c:pt idx="89">
                  <c:v>78400</c:v>
                </c:pt>
                <c:pt idx="90">
                  <c:v>40000</c:v>
                </c:pt>
                <c:pt idx="91">
                  <c:v>4200</c:v>
                </c:pt>
                <c:pt idx="92">
                  <c:v>38018</c:v>
                </c:pt>
                <c:pt idx="93">
                  <c:v>34100</c:v>
                </c:pt>
                <c:pt idx="94">
                  <c:v>26125</c:v>
                </c:pt>
                <c:pt idx="95">
                  <c:v>117000</c:v>
                </c:pt>
                <c:pt idx="96">
                  <c:v>69700</c:v>
                </c:pt>
                <c:pt idx="97">
                  <c:v>15623</c:v>
                </c:pt>
                <c:pt idx="98">
                  <c:v>34000</c:v>
                </c:pt>
                <c:pt idx="99">
                  <c:v>47000</c:v>
                </c:pt>
              </c:numCache>
            </c:numRef>
          </c:yVal>
          <c:smooth val="0"/>
          <c:extLst>
            <c:ext xmlns:c16="http://schemas.microsoft.com/office/drawing/2014/chart" uri="{C3380CC4-5D6E-409C-BE32-E72D297353CC}">
              <c16:uniqueId val="{00000000-4D74-4BAD-96AE-4AE83C08AEAE}"/>
            </c:ext>
          </c:extLst>
        </c:ser>
        <c:dLbls>
          <c:showLegendKey val="0"/>
          <c:showVal val="0"/>
          <c:showCatName val="0"/>
          <c:showSerName val="0"/>
          <c:showPercent val="0"/>
          <c:showBubbleSize val="0"/>
        </c:dLbls>
        <c:axId val="385680799"/>
        <c:axId val="385686559"/>
      </c:scatterChart>
      <c:valAx>
        <c:axId val="3856807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Growth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686559"/>
        <c:crosses val="autoZero"/>
        <c:crossBetween val="midCat"/>
      </c:valAx>
      <c:valAx>
        <c:axId val="3856865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Employees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low"/>
        <c:spPr>
          <a:noFill/>
          <a:ln w="9525" cap="flat" cmpd="sng" algn="ctr">
            <a:solidFill>
              <a:schemeClr val="tx1">
                <a:lumMod val="25000"/>
                <a:lumOff val="75000"/>
              </a:schemeClr>
            </a:solidFill>
            <a:round/>
          </a:ln>
          <a:effectLst/>
        </c:spPr>
        <c:txPr>
          <a:bodyPr rot="0" spcFirstLastPara="1" vertOverflow="ellipsis"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68079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236220</xdr:colOff>
      <xdr:row>0</xdr:row>
      <xdr:rowOff>179070</xdr:rowOff>
    </xdr:from>
    <xdr:to>
      <xdr:col>5</xdr:col>
      <xdr:colOff>624840</xdr:colOff>
      <xdr:row>15</xdr:row>
      <xdr:rowOff>179070</xdr:rowOff>
    </xdr:to>
    <xdr:graphicFrame macro="">
      <xdr:nvGraphicFramePr>
        <xdr:cNvPr id="3" name="Chart 2">
          <a:extLst>
            <a:ext uri="{FF2B5EF4-FFF2-40B4-BE49-F238E27FC236}">
              <a16:creationId xmlns:a16="http://schemas.microsoft.com/office/drawing/2014/main" id="{B80D41DC-9DA7-3C55-F574-CAAC07FFCF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457200</xdr:colOff>
      <xdr:row>23</xdr:row>
      <xdr:rowOff>133350</xdr:rowOff>
    </xdr:from>
    <xdr:to>
      <xdr:col>5</xdr:col>
      <xdr:colOff>297180</xdr:colOff>
      <xdr:row>38</xdr:row>
      <xdr:rowOff>133350</xdr:rowOff>
    </xdr:to>
    <xdr:graphicFrame macro="">
      <xdr:nvGraphicFramePr>
        <xdr:cNvPr id="4" name="Chart 3">
          <a:extLst>
            <a:ext uri="{FF2B5EF4-FFF2-40B4-BE49-F238E27FC236}">
              <a16:creationId xmlns:a16="http://schemas.microsoft.com/office/drawing/2014/main" id="{EED54085-F19B-48A4-5C6F-970BFF892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76200</xdr:colOff>
      <xdr:row>38</xdr:row>
      <xdr:rowOff>179070</xdr:rowOff>
    </xdr:from>
    <xdr:to>
      <xdr:col>4</xdr:col>
      <xdr:colOff>2240280</xdr:colOff>
      <xdr:row>53</xdr:row>
      <xdr:rowOff>179070</xdr:rowOff>
    </xdr:to>
    <xdr:graphicFrame macro="">
      <xdr:nvGraphicFramePr>
        <xdr:cNvPr id="5" name="Chart 4">
          <a:extLst>
            <a:ext uri="{FF2B5EF4-FFF2-40B4-BE49-F238E27FC236}">
              <a16:creationId xmlns:a16="http://schemas.microsoft.com/office/drawing/2014/main" id="{8F64E45B-FC38-1520-D514-EE2EC36D81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160020</xdr:colOff>
      <xdr:row>57</xdr:row>
      <xdr:rowOff>7620</xdr:rowOff>
    </xdr:from>
    <xdr:to>
      <xdr:col>6</xdr:col>
      <xdr:colOff>1242060</xdr:colOff>
      <xdr:row>72</xdr:row>
      <xdr:rowOff>7620</xdr:rowOff>
    </xdr:to>
    <xdr:graphicFrame macro="">
      <xdr:nvGraphicFramePr>
        <xdr:cNvPr id="7" name="Chart 6">
          <a:extLst>
            <a:ext uri="{FF2B5EF4-FFF2-40B4-BE49-F238E27FC236}">
              <a16:creationId xmlns:a16="http://schemas.microsoft.com/office/drawing/2014/main" id="{E88C660D-3508-4AFD-A884-D3C001B53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48637</xdr:colOff>
      <xdr:row>18</xdr:row>
      <xdr:rowOff>30480</xdr:rowOff>
    </xdr:from>
    <xdr:to>
      <xdr:col>7</xdr:col>
      <xdr:colOff>551233</xdr:colOff>
      <xdr:row>33</xdr:row>
      <xdr:rowOff>30480</xdr:rowOff>
    </xdr:to>
    <xdr:graphicFrame macro="">
      <xdr:nvGraphicFramePr>
        <xdr:cNvPr id="2" name="Chart 1">
          <a:extLst>
            <a:ext uri="{FF2B5EF4-FFF2-40B4-BE49-F238E27FC236}">
              <a16:creationId xmlns:a16="http://schemas.microsoft.com/office/drawing/2014/main" id="{438F8337-7719-4C9F-B565-2AE36AF88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594360</xdr:colOff>
      <xdr:row>3</xdr:row>
      <xdr:rowOff>15240</xdr:rowOff>
    </xdr:from>
    <xdr:to>
      <xdr:col>10</xdr:col>
      <xdr:colOff>289560</xdr:colOff>
      <xdr:row>18</xdr:row>
      <xdr:rowOff>15240</xdr:rowOff>
    </xdr:to>
    <xdr:graphicFrame macro="">
      <xdr:nvGraphicFramePr>
        <xdr:cNvPr id="3" name="Chart 2">
          <a:extLst>
            <a:ext uri="{FF2B5EF4-FFF2-40B4-BE49-F238E27FC236}">
              <a16:creationId xmlns:a16="http://schemas.microsoft.com/office/drawing/2014/main" id="{C99934CB-F904-474D-8AD4-DB734A464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289560</xdr:colOff>
      <xdr:row>3</xdr:row>
      <xdr:rowOff>0</xdr:rowOff>
    </xdr:from>
    <xdr:to>
      <xdr:col>16</xdr:col>
      <xdr:colOff>0</xdr:colOff>
      <xdr:row>18</xdr:row>
      <xdr:rowOff>0</xdr:rowOff>
    </xdr:to>
    <xdr:graphicFrame macro="">
      <xdr:nvGraphicFramePr>
        <xdr:cNvPr id="4" name="Chart 3">
          <a:extLst>
            <a:ext uri="{FF2B5EF4-FFF2-40B4-BE49-F238E27FC236}">
              <a16:creationId xmlns:a16="http://schemas.microsoft.com/office/drawing/2014/main" id="{8DC7744C-63F3-4481-81A1-0FF191E66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575553</xdr:colOff>
      <xdr:row>18</xdr:row>
      <xdr:rowOff>17417</xdr:rowOff>
    </xdr:from>
    <xdr:to>
      <xdr:col>16</xdr:col>
      <xdr:colOff>32425</xdr:colOff>
      <xdr:row>33</xdr:row>
      <xdr:rowOff>17417</xdr:rowOff>
    </xdr:to>
    <xdr:graphicFrame macro="">
      <xdr:nvGraphicFramePr>
        <xdr:cNvPr id="5" name="Chart 4">
          <a:extLst>
            <a:ext uri="{FF2B5EF4-FFF2-40B4-BE49-F238E27FC236}">
              <a16:creationId xmlns:a16="http://schemas.microsoft.com/office/drawing/2014/main" id="{2B04BA46-C75B-4C59-809A-8DBEB63C4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xdr:row>
      <xdr:rowOff>7620</xdr:rowOff>
    </xdr:from>
    <xdr:to>
      <xdr:col>3</xdr:col>
      <xdr:colOff>0</xdr:colOff>
      <xdr:row>15</xdr:row>
      <xdr:rowOff>113489</xdr:rowOff>
    </xdr:to>
    <mc:AlternateContent xmlns:mc="http://schemas.openxmlformats.org/markup-compatibility/2006">
      <mc:Choice xmlns:a14="http://schemas.microsoft.com/office/drawing/2010/main" Requires="a14">
        <xdr:graphicFrame macro="">
          <xdr:nvGraphicFramePr>
            <xdr:cNvPr id="7" name="Standardized Industry">
              <a:extLst>
                <a:ext uri="{FF2B5EF4-FFF2-40B4-BE49-F238E27FC236}">
                  <a16:creationId xmlns:a16="http://schemas.microsoft.com/office/drawing/2014/main" id="{D1FD36DC-7C34-6B69-620F-7F3E6E491688}"/>
                </a:ext>
              </a:extLst>
            </xdr:cNvPr>
            <xdr:cNvGraphicFramePr/>
          </xdr:nvGraphicFramePr>
          <xdr:xfrm>
            <a:off x="0" y="0"/>
            <a:ext cx="0" cy="0"/>
          </xdr:xfrm>
          <a:graphic>
            <a:graphicData uri="http://schemas.microsoft.com/office/drawing/2010/slicer">
              <sle:slicer xmlns:sle="http://schemas.microsoft.com/office/drawing/2010/slicer" name="Standardized Industry"/>
            </a:graphicData>
          </a:graphic>
        </xdr:graphicFrame>
      </mc:Choice>
      <mc:Fallback>
        <xdr:sp macro="" textlink="">
          <xdr:nvSpPr>
            <xdr:cNvPr id="0" name=""/>
            <xdr:cNvSpPr>
              <a:spLocks noTextEdit="1"/>
            </xdr:cNvSpPr>
          </xdr:nvSpPr>
          <xdr:spPr>
            <a:xfrm>
              <a:off x="0" y="566960"/>
              <a:ext cx="1823936" cy="23432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122200</xdr:rowOff>
    </xdr:from>
    <xdr:to>
      <xdr:col>3</xdr:col>
      <xdr:colOff>0</xdr:colOff>
      <xdr:row>22</xdr:row>
      <xdr:rowOff>3244</xdr:rowOff>
    </xdr:to>
    <mc:AlternateContent xmlns:mc="http://schemas.openxmlformats.org/markup-compatibility/2006">
      <mc:Choice xmlns:a14="http://schemas.microsoft.com/office/drawing/2010/main" Requires="a14">
        <xdr:graphicFrame macro="">
          <xdr:nvGraphicFramePr>
            <xdr:cNvPr id="8" name="Revenue Brackets">
              <a:extLst>
                <a:ext uri="{FF2B5EF4-FFF2-40B4-BE49-F238E27FC236}">
                  <a16:creationId xmlns:a16="http://schemas.microsoft.com/office/drawing/2014/main" id="{124A0C0C-4CE4-B360-FBF3-BFC2F6B4A6C6}"/>
                </a:ext>
              </a:extLst>
            </xdr:cNvPr>
            <xdr:cNvGraphicFramePr/>
          </xdr:nvGraphicFramePr>
          <xdr:xfrm>
            <a:off x="0" y="0"/>
            <a:ext cx="0" cy="0"/>
          </xdr:xfrm>
          <a:graphic>
            <a:graphicData uri="http://schemas.microsoft.com/office/drawing/2010/slicer">
              <sle:slicer xmlns:sle="http://schemas.microsoft.com/office/drawing/2010/slicer" name="Revenue Brackets"/>
            </a:graphicData>
          </a:graphic>
        </xdr:graphicFrame>
      </mc:Choice>
      <mc:Fallback>
        <xdr:sp macro="" textlink="">
          <xdr:nvSpPr>
            <xdr:cNvPr id="0" name=""/>
            <xdr:cNvSpPr>
              <a:spLocks noTextEdit="1"/>
            </xdr:cNvSpPr>
          </xdr:nvSpPr>
          <xdr:spPr>
            <a:xfrm>
              <a:off x="0" y="2918902"/>
              <a:ext cx="1823936" cy="1186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48245</xdr:rowOff>
    </xdr:from>
    <xdr:to>
      <xdr:col>3</xdr:col>
      <xdr:colOff>0</xdr:colOff>
      <xdr:row>27</xdr:row>
      <xdr:rowOff>16677</xdr:rowOff>
    </xdr:to>
    <mc:AlternateContent xmlns:mc="http://schemas.openxmlformats.org/markup-compatibility/2006">
      <mc:Choice xmlns:a14="http://schemas.microsoft.com/office/drawing/2010/main" Requires="a14">
        <xdr:graphicFrame macro="">
          <xdr:nvGraphicFramePr>
            <xdr:cNvPr id="9" name="Revenue Growth Result">
              <a:extLst>
                <a:ext uri="{FF2B5EF4-FFF2-40B4-BE49-F238E27FC236}">
                  <a16:creationId xmlns:a16="http://schemas.microsoft.com/office/drawing/2014/main" id="{D5BE2B4B-FFF1-2FA0-D1CA-7E5F80525E2D}"/>
                </a:ext>
              </a:extLst>
            </xdr:cNvPr>
            <xdr:cNvGraphicFramePr/>
          </xdr:nvGraphicFramePr>
          <xdr:xfrm>
            <a:off x="0" y="0"/>
            <a:ext cx="0" cy="0"/>
          </xdr:xfrm>
          <a:graphic>
            <a:graphicData uri="http://schemas.microsoft.com/office/drawing/2010/slicer">
              <sle:slicer xmlns:sle="http://schemas.microsoft.com/office/drawing/2010/slicer" name="Revenue Growth Result"/>
            </a:graphicData>
          </a:graphic>
        </xdr:graphicFrame>
      </mc:Choice>
      <mc:Fallback>
        <xdr:sp macro="" textlink="">
          <xdr:nvSpPr>
            <xdr:cNvPr id="0" name=""/>
            <xdr:cNvSpPr>
              <a:spLocks noTextEdit="1"/>
            </xdr:cNvSpPr>
          </xdr:nvSpPr>
          <xdr:spPr>
            <a:xfrm>
              <a:off x="0" y="4150075"/>
              <a:ext cx="1823936" cy="900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33121</xdr:rowOff>
    </xdr:from>
    <xdr:to>
      <xdr:col>3</xdr:col>
      <xdr:colOff>0</xdr:colOff>
      <xdr:row>31</xdr:row>
      <xdr:rowOff>162128</xdr:rowOff>
    </xdr:to>
    <mc:AlternateContent xmlns:mc="http://schemas.openxmlformats.org/markup-compatibility/2006">
      <mc:Choice xmlns:a14="http://schemas.microsoft.com/office/drawing/2010/main" Requires="a14">
        <xdr:graphicFrame macro="">
          <xdr:nvGraphicFramePr>
            <xdr:cNvPr id="10" name="Headquarters State">
              <a:extLst>
                <a:ext uri="{FF2B5EF4-FFF2-40B4-BE49-F238E27FC236}">
                  <a16:creationId xmlns:a16="http://schemas.microsoft.com/office/drawing/2014/main" id="{161A865C-F5E3-D597-8EAE-E2E56225C300}"/>
                </a:ext>
              </a:extLst>
            </xdr:cNvPr>
            <xdr:cNvGraphicFramePr/>
          </xdr:nvGraphicFramePr>
          <xdr:xfrm>
            <a:off x="0" y="0"/>
            <a:ext cx="0" cy="0"/>
          </xdr:xfrm>
          <a:graphic>
            <a:graphicData uri="http://schemas.microsoft.com/office/drawing/2010/slicer">
              <sle:slicer xmlns:sle="http://schemas.microsoft.com/office/drawing/2010/slicer" name="Headquarters State"/>
            </a:graphicData>
          </a:graphic>
        </xdr:graphicFrame>
      </mc:Choice>
      <mc:Fallback>
        <xdr:sp macro="" textlink="">
          <xdr:nvSpPr>
            <xdr:cNvPr id="0" name=""/>
            <xdr:cNvSpPr>
              <a:spLocks noTextEdit="1"/>
            </xdr:cNvSpPr>
          </xdr:nvSpPr>
          <xdr:spPr>
            <a:xfrm>
              <a:off x="0" y="5067185"/>
              <a:ext cx="1823936" cy="874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ora Tatum" refreshedDate="45986.696861342592" createdVersion="8" refreshedVersion="8" minRefreshableVersion="3" recordCount="100" xr:uid="{67E5E712-1031-4D33-94D5-C1E876815B80}">
  <cacheSource type="worksheet">
    <worksheetSource ref="A1:K101" sheet="working_largest_companies"/>
  </cacheSource>
  <cacheFields count="11">
    <cacheField name="Rank" numFmtId="0">
      <sharedItems containsSemiMixedTypes="0" containsString="0" containsNumber="1" containsInteger="1" minValue="1" maxValue="100"/>
    </cacheField>
    <cacheField name="Name" numFmtId="0">
      <sharedItems count="100">
        <s v="Walmart"/>
        <s v="Amazon"/>
        <s v="UnitedHealth Group"/>
        <s v="Apple"/>
        <s v="CVS Health"/>
        <s v="Berkshire Hathaway"/>
        <s v="Alphabet"/>
        <s v="ExxonMobil"/>
        <s v="McKesson Corporation"/>
        <s v="Cencora"/>
        <s v="JPMorgan Chase"/>
        <s v="Costco"/>
        <s v="Cigna"/>
        <s v="Microsoft"/>
        <s v="Cardinal Health"/>
        <s v="Chevron Corporation"/>
        <s v="Bank of America"/>
        <s v="General Motors"/>
        <s v="Ford Motor Company"/>
        <s v="Elevance Health"/>
        <s v="Citigroup"/>
        <s v="Meta Platforms"/>
        <s v="Centene"/>
        <s v="The Home Depot"/>
        <s v="Fannie Mae"/>
        <s v="Walgreens Boots Alliance"/>
        <s v="Kroger"/>
        <s v="Phillips 66"/>
        <s v="Marathon Petroleum"/>
        <s v="Verizon Communications"/>
        <s v="Nvidia"/>
        <s v="Goldman Sachs"/>
        <s v="Wells Fargo"/>
        <s v="Valero Energy"/>
        <s v="Comcast"/>
        <s v="State Farm"/>
        <s v="AT&amp;T"/>
        <s v="Freddie Mac"/>
        <s v="Humana"/>
        <s v="Morgan Stanley"/>
        <s v="Target Corporation"/>
        <s v="StoneX Group"/>
        <s v="Tesla"/>
        <s v="Dell Technologies"/>
        <s v="PepsiCo"/>
        <s v="The Walt Disney Company"/>
        <s v="United Parcel Service"/>
        <s v="Johnson &amp; Johnson"/>
        <s v="FedEx"/>
        <s v="Archer Daniels Midland"/>
        <s v="Procter &amp; Gamble"/>
        <s v="Lowe's"/>
        <s v="Energy Transfer Partners"/>
        <s v="RTX Corporation"/>
        <s v="Albertsons"/>
        <s v="Sysco"/>
        <s v="Progressive Corporation"/>
        <s v="American Express"/>
        <s v="Lockheed Martin"/>
        <s v="MetLife"/>
        <s v="HCA Healthcare"/>
        <s v="Prudential Financial"/>
        <s v="Boeing"/>
        <s v="Caterpillar"/>
        <s v="Merck &amp; Co."/>
        <s v="Allstate"/>
        <s v="Pfizer"/>
        <s v="IBM"/>
        <s v="New York Life Insurance Company"/>
        <s v="Delta Air Lines"/>
        <s v="Publix"/>
        <s v="Nationwide Mutual Insurance Company"/>
        <s v="TD Synnex"/>
        <s v="United Airlines"/>
        <s v="ConocoPhillips"/>
        <s v="TJX"/>
        <s v="AbbVie"/>
        <s v="Enterprise Products"/>
        <s v="Charter Communications"/>
        <s v="Performance Food Group"/>
        <s v="American Airlines"/>
        <s v="Capital One Financial"/>
        <s v="Cisco"/>
        <s v="HP"/>
        <s v="Tyson Foods"/>
        <s v="Intel"/>
        <s v="Oracle Corporation"/>
        <s v="Broadcom"/>
        <s v="John Deere"/>
        <s v="Nike"/>
        <s v="Liberty Mutual"/>
        <s v="Plains All American Pipeline"/>
        <s v="USAA"/>
        <s v="Bristol-Myers Squibb"/>
        <s v="Ingram Micro"/>
        <s v="General Dynamics"/>
        <s v="Coca-Cola"/>
        <s v="TIAA"/>
        <s v="The Travelers Companies"/>
        <s v="Eli Lilly"/>
      </sharedItems>
    </cacheField>
    <cacheField name="Industry" numFmtId="0">
      <sharedItems/>
    </cacheField>
    <cacheField name="Standardized Industry" numFmtId="0">
      <sharedItems containsMixedTypes="1" containsNumber="1" containsInteger="1" minValue="0" maxValue="0" count="21">
        <s v="Retail"/>
        <s v="Healthcare"/>
        <s v="Technology"/>
        <s v="Colglomerate"/>
        <s v="Energy / Oil and Gas"/>
        <s v="Finance"/>
        <s v="Automotive"/>
        <s v="Telecommunications"/>
        <s v="Food and Beverage"/>
        <s v="Media"/>
        <s v="Transportation"/>
        <s v="Food and Agriculture"/>
        <s v="Consumer products manufacturing"/>
        <s v="Food Service"/>
        <s v="Insurance"/>
        <s v="Aerospace and defense"/>
        <s v="Machinery"/>
        <s v="Airline"/>
        <s v="Food processing"/>
        <s v="Apparel"/>
        <n v="0" u="1"/>
      </sharedItems>
    </cacheField>
    <cacheField name="Revenue (USD millions)" numFmtId="1">
      <sharedItems containsSemiMixedTypes="0" containsString="0" containsNumber="1" containsInteger="1" minValue="45043" maxValue="680985" count="99">
        <n v="680985"/>
        <n v="637959"/>
        <n v="400278"/>
        <n v="391035"/>
        <n v="372809"/>
        <n v="371433"/>
        <n v="350018"/>
        <n v="349595"/>
        <n v="308951"/>
        <n v="293959"/>
        <n v="278906"/>
        <n v="254453"/>
        <n v="247121"/>
        <n v="245122"/>
        <n v="226827"/>
        <n v="202792"/>
        <n v="184992"/>
        <n v="187442"/>
        <n v="177011"/>
        <n v="170757"/>
        <n v="164501"/>
        <n v="163071"/>
        <n v="159514"/>
        <n v="152670"/>
        <n v="147658"/>
        <n v="147123"/>
        <n v="145496"/>
        <n v="140412"/>
        <n v="134788"/>
        <n v="130497"/>
        <n v="126853"/>
        <n v="125397"/>
        <n v="123974"/>
        <n v="123731"/>
        <n v="122951"/>
        <n v="122336"/>
        <n v="122052"/>
        <n v="117761"/>
        <n v="107285"/>
        <n v="106566"/>
        <n v="99888"/>
        <n v="97690"/>
        <n v="95567"/>
        <n v="91854"/>
        <n v="91361"/>
        <n v="91070"/>
        <n v="88821"/>
        <n v="87693"/>
        <n v="85530"/>
        <n v="84039"/>
        <n v="83674"/>
        <n v="82671"/>
        <n v="80739"/>
        <n v="79238"/>
        <n v="78844"/>
        <n v="75372"/>
        <n v="74201"/>
        <n v="71043"/>
        <n v="70986"/>
        <n v="70603"/>
        <n v="70405"/>
        <n v="66517"/>
        <n v="64809"/>
        <n v="64168"/>
        <n v="64106"/>
        <n v="63627"/>
        <n v="62753"/>
        <n v="62639"/>
        <n v="61643"/>
        <n v="60177"/>
        <n v="58646"/>
        <n v="58452"/>
        <n v="57063"/>
        <n v="56953"/>
        <n v="56360"/>
        <n v="56334"/>
        <n v="56219"/>
        <n v="55085"/>
        <n v="54681"/>
        <n v="54211"/>
        <n v="53938"/>
        <n v="53803"/>
        <n v="53559"/>
        <n v="53309"/>
        <n v="53101"/>
        <n v="52961"/>
        <n v="52432"/>
        <n v="51716"/>
        <n v="51361"/>
        <n v="50429"/>
        <n v="50073"/>
        <n v="48560"/>
        <n v="48300"/>
        <n v="47984"/>
        <n v="47716"/>
        <n v="47061"/>
        <n v="46946"/>
        <n v="46423"/>
        <n v="45043"/>
      </sharedItems>
    </cacheField>
    <cacheField name="Revenue Brackets" numFmtId="1">
      <sharedItems count="3">
        <s v="Over $500,000"/>
        <s v="Between $100,000-$500,000"/>
        <s v="Less than $100,000"/>
      </sharedItems>
    </cacheField>
    <cacheField name="Revenue growth" numFmtId="10">
      <sharedItems containsSemiMixedTypes="0" containsString="0" containsNumber="1" minValue="-0.156" maxValue="1.1419999999999999" count="87">
        <n v="5.0999999999999997E-2"/>
        <n v="0.11"/>
        <n v="7.6999999999999999E-2"/>
        <n v="0.02"/>
        <n v="4.2000000000000003E-2"/>
        <n v="1.9E-2"/>
        <n v="0.13900000000000001"/>
        <n v="1.4999999999999999E-2"/>
        <n v="0.11700000000000001"/>
        <n v="0.121"/>
        <n v="0.16500000000000001"/>
        <n v="0.05"/>
        <n v="0.26600000000000001"/>
        <n v="0.157"/>
        <n v="0.106"/>
        <n v="8.9999999999999993E-3"/>
        <n v="0.11899999999999999"/>
        <n v="9.0999999999999998E-2"/>
        <n v="3.3000000000000002E-2"/>
        <n v="8.8999999999999996E-2"/>
        <n v="0.219"/>
        <n v="5.8999999999999997E-2"/>
        <n v="4.4999999999999998E-2"/>
        <n v="8.1000000000000003E-2"/>
        <n v="6.2E-2"/>
        <n v="-1.9E-2"/>
        <n v="-2.9000000000000001E-2"/>
        <n v="-6.6000000000000003E-2"/>
        <n v="6.0000000000000001E-3"/>
        <n v="1.1419999999999999"/>
        <n v="0.17"/>
        <n v="8.6999999999999994E-2"/>
        <n v="-0.108"/>
        <n v="1.7999999999999999E-2"/>
        <n v="0.18"/>
        <n v="-1E-3"/>
        <n v="0.13"/>
        <n v="0.107"/>
        <n v="0.115"/>
        <n v="-8.0000000000000002E-3"/>
        <n v="0.64100000000000001"/>
        <n v="4.0000000000000001E-3"/>
        <n v="2.8000000000000001E-2"/>
        <n v="1E-3"/>
        <n v="-6.7000000000000004E-2"/>
        <n v="-2.7E-2"/>
        <n v="-8.8999999999999996E-2"/>
        <n v="2.5000000000000001E-2"/>
        <n v="-3.1E-2"/>
        <n v="5.1999999999999998E-2"/>
        <n v="0.17100000000000001"/>
        <n v="0.214"/>
        <n v="0.10100000000000001"/>
        <n v="6.0999999999999999E-2"/>
        <n v="0.30399999999999999"/>
        <n v="-0.14499999999999999"/>
        <n v="-3.4000000000000002E-2"/>
        <n v="6.7000000000000004E-2"/>
        <n v="0.123"/>
        <n v="8.7999999999999995E-2"/>
        <n v="1.4E-2"/>
        <n v="0.153"/>
        <n v="4.5999999999999999E-2"/>
        <n v="7.3999999999999996E-2"/>
        <n v="1.6E-2"/>
        <n v="-2.8000000000000001E-2"/>
        <n v="0.04"/>
        <n v="3.6999999999999998E-2"/>
        <n v="0.13100000000000001"/>
        <n v="2.7E-2"/>
        <n v="0.09"/>
        <n v="-5.6000000000000001E-2"/>
        <n v="-3.0000000000000001E-3"/>
        <n v="8.0000000000000002E-3"/>
        <n v="-2.1000000000000001E-2"/>
        <n v="0.06"/>
        <n v="0.46400000000000002"/>
        <n v="-0.156"/>
        <n v="3.0000000000000001E-3"/>
        <n v="-4.1000000000000002E-2"/>
        <n v="0.14299999999999999"/>
        <n v="7.2999999999999995E-2"/>
        <n v="0.129"/>
        <n v="2.9000000000000001E-2"/>
        <n v="2.5999999999999999E-2"/>
        <n v="0.122"/>
        <n v="0.32"/>
      </sharedItems>
    </cacheField>
    <cacheField name="Revenue Growth Result" numFmtId="10">
      <sharedItems count="2">
        <s v="Positive Growth"/>
        <s v="Negative Growth"/>
      </sharedItems>
    </cacheField>
    <cacheField name="Employees" numFmtId="1">
      <sharedItems containsSemiMixedTypes="0" containsString="0" containsNumber="1" containsInteger="1" minValue="4200" maxValue="2100000" count="99">
        <n v="2100000"/>
        <n v="1556000"/>
        <n v="400000"/>
        <n v="164000"/>
        <n v="259500"/>
        <n v="392400"/>
        <n v="183323"/>
        <n v="60900"/>
        <n v="48000"/>
        <n v="44000"/>
        <n v="317233"/>
        <n v="333000"/>
        <n v="72398"/>
        <n v="228000"/>
        <n v="48411"/>
        <n v="45298"/>
        <n v="213193"/>
        <n v="162000"/>
        <n v="171000"/>
        <n v="103679"/>
        <n v="227855"/>
        <n v="74067"/>
        <n v="60500"/>
        <n v="470100"/>
        <n v="8200"/>
        <n v="252500"/>
        <n v="409000"/>
        <n v="13200"/>
        <n v="18300"/>
        <n v="99600"/>
        <n v="36000"/>
        <n v="46500"/>
        <n v="217502"/>
        <n v="9910"/>
        <n v="182000"/>
        <n v="67381"/>
        <n v="140990"/>
        <n v="8090"/>
        <n v="65680"/>
        <n v="80478"/>
        <n v="440000"/>
        <n v="4500"/>
        <n v="125665"/>
        <n v="108000"/>
        <n v="319000"/>
        <n v="205040"/>
        <n v="372180"/>
        <n v="138100"/>
        <n v="422100"/>
        <n v="43213"/>
        <n v="215500"/>
        <n v="16248"/>
        <n v="186000"/>
        <n v="196650"/>
        <n v="76000"/>
        <n v="66308"/>
        <n v="75100"/>
        <n v="121000"/>
        <n v="45000"/>
        <n v="271000"/>
        <n v="37936"/>
        <n v="172000"/>
        <n v="112900"/>
        <n v="74000"/>
        <n v="55200"/>
        <n v="81000"/>
        <n v="284500"/>
        <n v="15131"/>
        <n v="103000"/>
        <n v="255000"/>
        <n v="22453"/>
        <n v="25750"/>
        <n v="107300"/>
        <n v="11800"/>
        <n v="364000"/>
        <n v="55000"/>
        <n v="7800"/>
        <n v="94500"/>
        <n v="36815"/>
        <n v="133300"/>
        <n v="52600"/>
        <n v="90400"/>
        <n v="58000"/>
        <n v="138000"/>
        <n v="108900"/>
        <n v="159000"/>
        <n v="37000"/>
        <n v="55524"/>
        <n v="78400"/>
        <n v="40000"/>
        <n v="4200"/>
        <n v="38018"/>
        <n v="34100"/>
        <n v="26125"/>
        <n v="117000"/>
        <n v="69700"/>
        <n v="15623"/>
        <n v="34000"/>
        <n v="47000"/>
      </sharedItems>
    </cacheField>
    <cacheField name="Headquarters" numFmtId="0">
      <sharedItems/>
    </cacheField>
    <cacheField name="Headquarters State" numFmtId="0">
      <sharedItems count="28">
        <s v="Arkansas"/>
        <s v="Washington"/>
        <s v="Minnesota"/>
        <s v="California"/>
        <s v="Rhode Island"/>
        <s v="Nebraska"/>
        <s v="Texas"/>
        <s v="Pennsylvania"/>
        <s v="New York"/>
        <s v="Connecticut"/>
        <s v="Ohio"/>
        <s v="North Carolina"/>
        <s v="Michigan"/>
        <s v="Indiana"/>
        <s v="Missouri"/>
        <s v="Georgia"/>
        <s v="D.C."/>
        <s v="Illinois"/>
        <s v="Virginia"/>
        <s v="Kentucky"/>
        <s v="New Jersey"/>
        <s v="Tennessee"/>
        <s v="Idaho"/>
        <s v="Maryland"/>
        <s v="Cook County, Illinois"/>
        <s v="Florida"/>
        <s v="Massachusetts"/>
        <s v="Oregon"/>
      </sharedItems>
    </cacheField>
  </cacheFields>
  <extLst>
    <ext xmlns:x14="http://schemas.microsoft.com/office/spreadsheetml/2009/9/main" uri="{725AE2AE-9491-48be-B2B4-4EB974FC3084}">
      <x14:pivotCacheDefinition pivotCacheId="3551107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s v="Retail"/>
    <x v="0"/>
    <x v="0"/>
    <x v="0"/>
    <x v="0"/>
    <x v="0"/>
    <x v="0"/>
    <s v="Bentonville, Arkansas"/>
    <x v="0"/>
  </r>
  <r>
    <n v="2"/>
    <x v="1"/>
    <s v="Retail and cloud computing"/>
    <x v="0"/>
    <x v="1"/>
    <x v="0"/>
    <x v="1"/>
    <x v="0"/>
    <x v="1"/>
    <s v="Seattle, Washington"/>
    <x v="1"/>
  </r>
  <r>
    <n v="3"/>
    <x v="2"/>
    <s v="Healthcare"/>
    <x v="1"/>
    <x v="2"/>
    <x v="1"/>
    <x v="2"/>
    <x v="0"/>
    <x v="2"/>
    <s v="Minnetonka, Minnesota"/>
    <x v="2"/>
  </r>
  <r>
    <n v="4"/>
    <x v="3"/>
    <s v="Electronics industry"/>
    <x v="2"/>
    <x v="3"/>
    <x v="1"/>
    <x v="3"/>
    <x v="0"/>
    <x v="3"/>
    <s v="Cupertino, California"/>
    <x v="3"/>
  </r>
  <r>
    <n v="5"/>
    <x v="4"/>
    <s v="Healthcare"/>
    <x v="1"/>
    <x v="4"/>
    <x v="1"/>
    <x v="4"/>
    <x v="0"/>
    <x v="4"/>
    <s v="Woonsocket, Rhode Island"/>
    <x v="4"/>
  </r>
  <r>
    <n v="6"/>
    <x v="5"/>
    <s v="Conglomerate"/>
    <x v="3"/>
    <x v="5"/>
    <x v="1"/>
    <x v="5"/>
    <x v="0"/>
    <x v="5"/>
    <s v="Omaha, Nebraska"/>
    <x v="5"/>
  </r>
  <r>
    <n v="7"/>
    <x v="6"/>
    <s v="Technology and cloud computing"/>
    <x v="2"/>
    <x v="6"/>
    <x v="1"/>
    <x v="6"/>
    <x v="0"/>
    <x v="6"/>
    <s v="Mountain View, California"/>
    <x v="3"/>
  </r>
  <r>
    <n v="8"/>
    <x v="7"/>
    <s v="Petroleum industry"/>
    <x v="4"/>
    <x v="7"/>
    <x v="1"/>
    <x v="7"/>
    <x v="0"/>
    <x v="7"/>
    <s v="Spring, Texas"/>
    <x v="6"/>
  </r>
  <r>
    <n v="9"/>
    <x v="8"/>
    <s v="Health"/>
    <x v="1"/>
    <x v="8"/>
    <x v="1"/>
    <x v="8"/>
    <x v="0"/>
    <x v="8"/>
    <s v="Irving, Texas"/>
    <x v="6"/>
  </r>
  <r>
    <n v="10"/>
    <x v="9"/>
    <s v="Pharmacy wholesale"/>
    <x v="1"/>
    <x v="9"/>
    <x v="1"/>
    <x v="9"/>
    <x v="0"/>
    <x v="9"/>
    <s v="Conshohocken, Pennsylvania"/>
    <x v="7"/>
  </r>
  <r>
    <n v="11"/>
    <x v="10"/>
    <s v="Financial services"/>
    <x v="5"/>
    <x v="10"/>
    <x v="1"/>
    <x v="10"/>
    <x v="0"/>
    <x v="10"/>
    <s v="New York City, New York"/>
    <x v="8"/>
  </r>
  <r>
    <n v="12"/>
    <x v="11"/>
    <s v="Retail"/>
    <x v="0"/>
    <x v="11"/>
    <x v="1"/>
    <x v="11"/>
    <x v="0"/>
    <x v="11"/>
    <s v="Issaquah, Washington"/>
    <x v="1"/>
  </r>
  <r>
    <n v="13"/>
    <x v="12"/>
    <s v="Health insurance"/>
    <x v="1"/>
    <x v="12"/>
    <x v="1"/>
    <x v="12"/>
    <x v="0"/>
    <x v="12"/>
    <s v="Bloomfield, Connecticut"/>
    <x v="9"/>
  </r>
  <r>
    <n v="14"/>
    <x v="13"/>
    <s v="Technology and cloud computing"/>
    <x v="2"/>
    <x v="13"/>
    <x v="1"/>
    <x v="13"/>
    <x v="0"/>
    <x v="13"/>
    <s v="Redmond, Washington"/>
    <x v="1"/>
  </r>
  <r>
    <n v="15"/>
    <x v="14"/>
    <s v="Healthcare"/>
    <x v="1"/>
    <x v="14"/>
    <x v="1"/>
    <x v="14"/>
    <x v="0"/>
    <x v="14"/>
    <s v="Dublin, Ohio"/>
    <x v="10"/>
  </r>
  <r>
    <n v="16"/>
    <x v="15"/>
    <s v="Petroleum industry"/>
    <x v="4"/>
    <x v="15"/>
    <x v="1"/>
    <x v="15"/>
    <x v="0"/>
    <x v="15"/>
    <s v="Houston, Texas"/>
    <x v="6"/>
  </r>
  <r>
    <n v="17"/>
    <x v="16"/>
    <s v="Financials"/>
    <x v="5"/>
    <x v="16"/>
    <x v="1"/>
    <x v="16"/>
    <x v="0"/>
    <x v="16"/>
    <s v="Charlotte, North Carolina"/>
    <x v="11"/>
  </r>
  <r>
    <n v="18"/>
    <x v="17"/>
    <s v="Automotive industry"/>
    <x v="6"/>
    <x v="17"/>
    <x v="1"/>
    <x v="17"/>
    <x v="0"/>
    <x v="17"/>
    <s v="Detroit, Michigan"/>
    <x v="12"/>
  </r>
  <r>
    <n v="19"/>
    <x v="18"/>
    <s v="Automotive industry"/>
    <x v="6"/>
    <x v="16"/>
    <x v="1"/>
    <x v="11"/>
    <x v="0"/>
    <x v="18"/>
    <s v="Dearborn, Michigan"/>
    <x v="12"/>
  </r>
  <r>
    <n v="20"/>
    <x v="19"/>
    <s v="Healthcare"/>
    <x v="1"/>
    <x v="18"/>
    <x v="1"/>
    <x v="18"/>
    <x v="0"/>
    <x v="19"/>
    <s v="Indianapolis, Indiana"/>
    <x v="13"/>
  </r>
  <r>
    <n v="21"/>
    <x v="20"/>
    <s v="Financials"/>
    <x v="5"/>
    <x v="19"/>
    <x v="1"/>
    <x v="19"/>
    <x v="0"/>
    <x v="20"/>
    <s v="New York City, New York"/>
    <x v="8"/>
  </r>
  <r>
    <n v="22"/>
    <x v="21"/>
    <s v="Technology"/>
    <x v="2"/>
    <x v="20"/>
    <x v="1"/>
    <x v="20"/>
    <x v="0"/>
    <x v="21"/>
    <s v="Menlo Park, California"/>
    <x v="3"/>
  </r>
  <r>
    <n v="23"/>
    <x v="22"/>
    <s v="Healthcare"/>
    <x v="1"/>
    <x v="21"/>
    <x v="1"/>
    <x v="21"/>
    <x v="0"/>
    <x v="22"/>
    <s v="St. Louis, Missouri"/>
    <x v="14"/>
  </r>
  <r>
    <n v="24"/>
    <x v="23"/>
    <s v="Retail"/>
    <x v="0"/>
    <x v="22"/>
    <x v="1"/>
    <x v="22"/>
    <x v="0"/>
    <x v="23"/>
    <s v="Atlanta, Georgia"/>
    <x v="15"/>
  </r>
  <r>
    <n v="25"/>
    <x v="24"/>
    <s v="Financials"/>
    <x v="5"/>
    <x v="23"/>
    <x v="1"/>
    <x v="23"/>
    <x v="0"/>
    <x v="24"/>
    <s v="Washington, D.C."/>
    <x v="16"/>
  </r>
  <r>
    <n v="26"/>
    <x v="25"/>
    <s v="Pharmaceutical industry"/>
    <x v="1"/>
    <x v="24"/>
    <x v="1"/>
    <x v="24"/>
    <x v="0"/>
    <x v="25"/>
    <s v="Deerfield, Illinois"/>
    <x v="17"/>
  </r>
  <r>
    <n v="27"/>
    <x v="26"/>
    <s v="Retail"/>
    <x v="0"/>
    <x v="25"/>
    <x v="1"/>
    <x v="25"/>
    <x v="1"/>
    <x v="26"/>
    <s v="Cincinnati, Ohio"/>
    <x v="10"/>
  </r>
  <r>
    <n v="28"/>
    <x v="27"/>
    <s v="Petroleum industry"/>
    <x v="4"/>
    <x v="26"/>
    <x v="1"/>
    <x v="26"/>
    <x v="1"/>
    <x v="27"/>
    <s v="Houston, Texas"/>
    <x v="6"/>
  </r>
  <r>
    <n v="29"/>
    <x v="28"/>
    <s v="Petroleum industry"/>
    <x v="4"/>
    <x v="27"/>
    <x v="1"/>
    <x v="27"/>
    <x v="1"/>
    <x v="28"/>
    <s v="Findlay, Ohio"/>
    <x v="10"/>
  </r>
  <r>
    <n v="30"/>
    <x v="29"/>
    <s v="Telecommunications"/>
    <x v="7"/>
    <x v="28"/>
    <x v="1"/>
    <x v="28"/>
    <x v="0"/>
    <x v="29"/>
    <s v="New York City, New York"/>
    <x v="8"/>
  </r>
  <r>
    <n v="31"/>
    <x v="30"/>
    <s v="Technology"/>
    <x v="2"/>
    <x v="29"/>
    <x v="1"/>
    <x v="29"/>
    <x v="0"/>
    <x v="30"/>
    <s v="Santa Clara, California"/>
    <x v="3"/>
  </r>
  <r>
    <n v="32"/>
    <x v="31"/>
    <s v="Financials"/>
    <x v="5"/>
    <x v="30"/>
    <x v="1"/>
    <x v="30"/>
    <x v="0"/>
    <x v="31"/>
    <s v="New York City, New York"/>
    <x v="8"/>
  </r>
  <r>
    <n v="33"/>
    <x v="32"/>
    <s v="Financials"/>
    <x v="5"/>
    <x v="31"/>
    <x v="1"/>
    <x v="31"/>
    <x v="0"/>
    <x v="32"/>
    <s v="San Francisco, California"/>
    <x v="3"/>
  </r>
  <r>
    <n v="34"/>
    <x v="33"/>
    <s v="Petroleum industry"/>
    <x v="4"/>
    <x v="32"/>
    <x v="1"/>
    <x v="32"/>
    <x v="1"/>
    <x v="33"/>
    <s v="San Antonio, Texas"/>
    <x v="6"/>
  </r>
  <r>
    <n v="35"/>
    <x v="34"/>
    <s v="Telecommunications"/>
    <x v="7"/>
    <x v="33"/>
    <x v="1"/>
    <x v="33"/>
    <x v="0"/>
    <x v="34"/>
    <s v="Philadelphia, Pennsylvania"/>
    <x v="7"/>
  </r>
  <r>
    <n v="36"/>
    <x v="35"/>
    <s v="Financials"/>
    <x v="5"/>
    <x v="34"/>
    <x v="1"/>
    <x v="34"/>
    <x v="0"/>
    <x v="35"/>
    <s v="Bloomington, Illinois"/>
    <x v="17"/>
  </r>
  <r>
    <n v="37"/>
    <x v="36"/>
    <s v="Conglomerate and telecommunications"/>
    <x v="7"/>
    <x v="35"/>
    <x v="1"/>
    <x v="35"/>
    <x v="1"/>
    <x v="36"/>
    <s v="Dallas, Texas"/>
    <x v="6"/>
  </r>
  <r>
    <n v="38"/>
    <x v="37"/>
    <s v="Financials"/>
    <x v="5"/>
    <x v="36"/>
    <x v="1"/>
    <x v="36"/>
    <x v="0"/>
    <x v="37"/>
    <s v="McLean, Virginia"/>
    <x v="18"/>
  </r>
  <r>
    <n v="39"/>
    <x v="38"/>
    <s v="Health insurance"/>
    <x v="1"/>
    <x v="37"/>
    <x v="1"/>
    <x v="37"/>
    <x v="0"/>
    <x v="38"/>
    <s v="Louisville, Kentucky"/>
    <x v="19"/>
  </r>
  <r>
    <n v="40"/>
    <x v="39"/>
    <s v="Financials"/>
    <x v="5"/>
    <x v="38"/>
    <x v="1"/>
    <x v="38"/>
    <x v="0"/>
    <x v="39"/>
    <s v="New York City, New York"/>
    <x v="8"/>
  </r>
  <r>
    <n v="41"/>
    <x v="40"/>
    <s v="Retail"/>
    <x v="0"/>
    <x v="39"/>
    <x v="1"/>
    <x v="39"/>
    <x v="1"/>
    <x v="40"/>
    <s v="Minneapolis, Minnesota"/>
    <x v="2"/>
  </r>
  <r>
    <n v="42"/>
    <x v="41"/>
    <s v="Financials"/>
    <x v="5"/>
    <x v="40"/>
    <x v="2"/>
    <x v="40"/>
    <x v="0"/>
    <x v="41"/>
    <s v="New York City, New York"/>
    <x v="8"/>
  </r>
  <r>
    <n v="43"/>
    <x v="42"/>
    <s v="Automotive and energy"/>
    <x v="6"/>
    <x v="41"/>
    <x v="2"/>
    <x v="15"/>
    <x v="0"/>
    <x v="42"/>
    <s v="Austin, Texas"/>
    <x v="6"/>
  </r>
  <r>
    <n v="44"/>
    <x v="43"/>
    <s v="Technology"/>
    <x v="2"/>
    <x v="42"/>
    <x v="2"/>
    <x v="23"/>
    <x v="0"/>
    <x v="43"/>
    <s v="Round Rock, Texas"/>
    <x v="6"/>
  </r>
  <r>
    <n v="45"/>
    <x v="44"/>
    <s v="Beverage"/>
    <x v="8"/>
    <x v="43"/>
    <x v="2"/>
    <x v="41"/>
    <x v="0"/>
    <x v="44"/>
    <s v="Purchase, New York"/>
    <x v="8"/>
  </r>
  <r>
    <n v="46"/>
    <x v="45"/>
    <s v="Media"/>
    <x v="9"/>
    <x v="44"/>
    <x v="2"/>
    <x v="42"/>
    <x v="0"/>
    <x v="45"/>
    <s v="Burbank, California"/>
    <x v="3"/>
  </r>
  <r>
    <n v="47"/>
    <x v="46"/>
    <s v="Transportation"/>
    <x v="10"/>
    <x v="45"/>
    <x v="2"/>
    <x v="43"/>
    <x v="0"/>
    <x v="46"/>
    <s v="Atlanta, Georgia"/>
    <x v="15"/>
  </r>
  <r>
    <n v="48"/>
    <x v="47"/>
    <s v="Pharmaceutical industry"/>
    <x v="1"/>
    <x v="46"/>
    <x v="2"/>
    <x v="44"/>
    <x v="1"/>
    <x v="47"/>
    <s v="New Brunswick, New Jersey"/>
    <x v="20"/>
  </r>
  <r>
    <n v="49"/>
    <x v="48"/>
    <s v="Transportation"/>
    <x v="10"/>
    <x v="47"/>
    <x v="2"/>
    <x v="45"/>
    <x v="1"/>
    <x v="48"/>
    <s v="Memphis, Tennessee"/>
    <x v="21"/>
  </r>
  <r>
    <n v="50"/>
    <x v="49"/>
    <s v="Food industry"/>
    <x v="11"/>
    <x v="48"/>
    <x v="2"/>
    <x v="46"/>
    <x v="1"/>
    <x v="49"/>
    <s v="Chicago, Illinois"/>
    <x v="17"/>
  </r>
  <r>
    <n v="51"/>
    <x v="50"/>
    <s v="Consumer products manufacturing"/>
    <x v="12"/>
    <x v="49"/>
    <x v="2"/>
    <x v="47"/>
    <x v="0"/>
    <x v="43"/>
    <s v="Cincinnati, Ohio"/>
    <x v="10"/>
  </r>
  <r>
    <n v="52"/>
    <x v="51"/>
    <s v="Retail"/>
    <x v="0"/>
    <x v="50"/>
    <x v="2"/>
    <x v="48"/>
    <x v="1"/>
    <x v="50"/>
    <s v="Mooresville, North Carolina"/>
    <x v="11"/>
  </r>
  <r>
    <n v="53"/>
    <x v="52"/>
    <s v="Petroleum industry"/>
    <x v="4"/>
    <x v="51"/>
    <x v="2"/>
    <x v="49"/>
    <x v="0"/>
    <x v="51"/>
    <s v="Dallas, Texas"/>
    <x v="6"/>
  </r>
  <r>
    <n v="54"/>
    <x v="53"/>
    <s v="Conglomerate"/>
    <x v="3"/>
    <x v="52"/>
    <x v="2"/>
    <x v="50"/>
    <x v="0"/>
    <x v="52"/>
    <s v="Arlington County, Virginia"/>
    <x v="18"/>
  </r>
  <r>
    <n v="55"/>
    <x v="54"/>
    <s v="Retail"/>
    <x v="0"/>
    <x v="53"/>
    <x v="2"/>
    <x v="3"/>
    <x v="0"/>
    <x v="53"/>
    <s v="Boise, Idaho"/>
    <x v="22"/>
  </r>
  <r>
    <n v="56"/>
    <x v="55"/>
    <s v="Food service"/>
    <x v="13"/>
    <x v="54"/>
    <x v="2"/>
    <x v="18"/>
    <x v="0"/>
    <x v="54"/>
    <s v="Houston, Texas"/>
    <x v="6"/>
  </r>
  <r>
    <n v="57"/>
    <x v="56"/>
    <s v="Insurance"/>
    <x v="14"/>
    <x v="55"/>
    <x v="2"/>
    <x v="51"/>
    <x v="0"/>
    <x v="55"/>
    <s v="Mayfield Village, Ohio"/>
    <x v="10"/>
  </r>
  <r>
    <n v="58"/>
    <x v="57"/>
    <s v="Financial"/>
    <x v="5"/>
    <x v="56"/>
    <x v="2"/>
    <x v="52"/>
    <x v="0"/>
    <x v="56"/>
    <s v="New York City, New York"/>
    <x v="8"/>
  </r>
  <r>
    <n v="59"/>
    <x v="58"/>
    <s v="Aerospace and defense"/>
    <x v="15"/>
    <x v="57"/>
    <x v="2"/>
    <x v="0"/>
    <x v="0"/>
    <x v="57"/>
    <s v="Bethesda, Maryland"/>
    <x v="23"/>
  </r>
  <r>
    <n v="60"/>
    <x v="59"/>
    <s v="Financials"/>
    <x v="5"/>
    <x v="58"/>
    <x v="2"/>
    <x v="53"/>
    <x v="0"/>
    <x v="58"/>
    <s v="New York City, New York"/>
    <x v="8"/>
  </r>
  <r>
    <n v="61"/>
    <x v="60"/>
    <s v="Healthcare"/>
    <x v="1"/>
    <x v="59"/>
    <x v="2"/>
    <x v="31"/>
    <x v="0"/>
    <x v="59"/>
    <s v="Nashville, Tennessee"/>
    <x v="21"/>
  </r>
  <r>
    <n v="62"/>
    <x v="61"/>
    <s v="Financials"/>
    <x v="5"/>
    <x v="60"/>
    <x v="2"/>
    <x v="54"/>
    <x v="0"/>
    <x v="60"/>
    <s v="Newark, New Jersey"/>
    <x v="20"/>
  </r>
  <r>
    <n v="63"/>
    <x v="62"/>
    <s v="Aerospace and defense"/>
    <x v="15"/>
    <x v="61"/>
    <x v="2"/>
    <x v="55"/>
    <x v="1"/>
    <x v="61"/>
    <s v="Arlington County, Virginia"/>
    <x v="18"/>
  </r>
  <r>
    <n v="64"/>
    <x v="63"/>
    <s v="Machinery"/>
    <x v="16"/>
    <x v="62"/>
    <x v="2"/>
    <x v="56"/>
    <x v="1"/>
    <x v="62"/>
    <s v="Irving, Texas"/>
    <x v="6"/>
  </r>
  <r>
    <n v="65"/>
    <x v="64"/>
    <s v="Pharmaceutical industry"/>
    <x v="1"/>
    <x v="63"/>
    <x v="2"/>
    <x v="57"/>
    <x v="0"/>
    <x v="63"/>
    <s v="Kenilworth, New Jersey"/>
    <x v="20"/>
  </r>
  <r>
    <n v="66"/>
    <x v="65"/>
    <s v="Insurance"/>
    <x v="14"/>
    <x v="64"/>
    <x v="2"/>
    <x v="58"/>
    <x v="0"/>
    <x v="64"/>
    <s v="Northfield Township, Cook County, Illinois"/>
    <x v="24"/>
  </r>
  <r>
    <n v="67"/>
    <x v="66"/>
    <s v="Pharmaceutical industry"/>
    <x v="1"/>
    <x v="65"/>
    <x v="2"/>
    <x v="59"/>
    <x v="0"/>
    <x v="65"/>
    <s v="New York City, New York"/>
    <x v="8"/>
  </r>
  <r>
    <n v="68"/>
    <x v="67"/>
    <s v="Technology and cloud computing"/>
    <x v="2"/>
    <x v="66"/>
    <x v="2"/>
    <x v="60"/>
    <x v="0"/>
    <x v="66"/>
    <s v="Armonk, New York"/>
    <x v="8"/>
  </r>
  <r>
    <n v="69"/>
    <x v="68"/>
    <s v="Insurance"/>
    <x v="14"/>
    <x v="67"/>
    <x v="2"/>
    <x v="61"/>
    <x v="0"/>
    <x v="67"/>
    <s v="New York City, New York"/>
    <x v="8"/>
  </r>
  <r>
    <n v="70"/>
    <x v="69"/>
    <s v="Airline"/>
    <x v="17"/>
    <x v="68"/>
    <x v="2"/>
    <x v="24"/>
    <x v="0"/>
    <x v="68"/>
    <s v="Atlanta, Georgia"/>
    <x v="15"/>
  </r>
  <r>
    <n v="71"/>
    <x v="70"/>
    <s v="Retail"/>
    <x v="0"/>
    <x v="69"/>
    <x v="2"/>
    <x v="62"/>
    <x v="0"/>
    <x v="69"/>
    <s v="Lakeland, Florida"/>
    <x v="25"/>
  </r>
  <r>
    <n v="72"/>
    <x v="71"/>
    <s v="Financial"/>
    <x v="5"/>
    <x v="70"/>
    <x v="2"/>
    <x v="63"/>
    <x v="0"/>
    <x v="70"/>
    <s v="Columbus, Ohio"/>
    <x v="10"/>
  </r>
  <r>
    <n v="73"/>
    <x v="72"/>
    <s v="Information Technology"/>
    <x v="2"/>
    <x v="71"/>
    <x v="2"/>
    <x v="64"/>
    <x v="0"/>
    <x v="71"/>
    <s v="Clearwater, Florida"/>
    <x v="25"/>
  </r>
  <r>
    <n v="74"/>
    <x v="73"/>
    <s v="Airline"/>
    <x v="17"/>
    <x v="72"/>
    <x v="2"/>
    <x v="24"/>
    <x v="0"/>
    <x v="72"/>
    <s v="Chicago, Illinois"/>
    <x v="17"/>
  </r>
  <r>
    <n v="75"/>
    <x v="74"/>
    <s v="Petroleum industry"/>
    <x v="4"/>
    <x v="73"/>
    <x v="2"/>
    <x v="65"/>
    <x v="1"/>
    <x v="73"/>
    <s v="Houston, Texas"/>
    <x v="6"/>
  </r>
  <r>
    <n v="76"/>
    <x v="75"/>
    <s v="Retail"/>
    <x v="0"/>
    <x v="74"/>
    <x v="2"/>
    <x v="66"/>
    <x v="0"/>
    <x v="74"/>
    <s v="Framingham, Massachusetts"/>
    <x v="26"/>
  </r>
  <r>
    <n v="77"/>
    <x v="76"/>
    <s v="Pharmaceutical industry"/>
    <x v="1"/>
    <x v="75"/>
    <x v="2"/>
    <x v="67"/>
    <x v="0"/>
    <x v="75"/>
    <s v="Lake Bluff, Illinois"/>
    <x v="17"/>
  </r>
  <r>
    <n v="78"/>
    <x v="77"/>
    <s v="Petroleum industry"/>
    <x v="4"/>
    <x v="76"/>
    <x v="2"/>
    <x v="68"/>
    <x v="0"/>
    <x v="76"/>
    <s v="Houston, Texas"/>
    <x v="6"/>
  </r>
  <r>
    <n v="79"/>
    <x v="78"/>
    <s v="Telecommunications"/>
    <x v="7"/>
    <x v="77"/>
    <x v="2"/>
    <x v="15"/>
    <x v="0"/>
    <x v="77"/>
    <s v="Stamford, Connecticut"/>
    <x v="9"/>
  </r>
  <r>
    <n v="80"/>
    <x v="79"/>
    <s v="Food processing"/>
    <x v="18"/>
    <x v="78"/>
    <x v="2"/>
    <x v="47"/>
    <x v="0"/>
    <x v="78"/>
    <s v="Richmond, Virginia"/>
    <x v="18"/>
  </r>
  <r>
    <n v="81"/>
    <x v="80"/>
    <s v="Airline"/>
    <x v="17"/>
    <x v="79"/>
    <x v="2"/>
    <x v="69"/>
    <x v="0"/>
    <x v="79"/>
    <s v="Fort Worth, Texas"/>
    <x v="6"/>
  </r>
  <r>
    <n v="82"/>
    <x v="81"/>
    <s v="Financials"/>
    <x v="5"/>
    <x v="80"/>
    <x v="2"/>
    <x v="70"/>
    <x v="0"/>
    <x v="80"/>
    <s v="Richmond, Virginia"/>
    <x v="18"/>
  </r>
  <r>
    <n v="83"/>
    <x v="82"/>
    <s v="Telecom hardware manufacturing"/>
    <x v="2"/>
    <x v="81"/>
    <x v="2"/>
    <x v="71"/>
    <x v="1"/>
    <x v="81"/>
    <s v="San Jose, California"/>
    <x v="3"/>
  </r>
  <r>
    <n v="84"/>
    <x v="83"/>
    <s v="Technology"/>
    <x v="2"/>
    <x v="82"/>
    <x v="2"/>
    <x v="72"/>
    <x v="1"/>
    <x v="82"/>
    <s v="Palo Alto, California"/>
    <x v="3"/>
  </r>
  <r>
    <n v="85"/>
    <x v="84"/>
    <s v="Food processing"/>
    <x v="18"/>
    <x v="83"/>
    <x v="2"/>
    <x v="73"/>
    <x v="0"/>
    <x v="83"/>
    <s v="Springdale, Arkansas"/>
    <x v="0"/>
  </r>
  <r>
    <n v="86"/>
    <x v="85"/>
    <s v="Technology"/>
    <x v="2"/>
    <x v="84"/>
    <x v="2"/>
    <x v="74"/>
    <x v="1"/>
    <x v="84"/>
    <s v="Santa Clara, California"/>
    <x v="3"/>
  </r>
  <r>
    <n v="87"/>
    <x v="86"/>
    <s v="Technology"/>
    <x v="2"/>
    <x v="85"/>
    <x v="2"/>
    <x v="75"/>
    <x v="0"/>
    <x v="85"/>
    <s v="Austin, Texas"/>
    <x v="6"/>
  </r>
  <r>
    <n v="88"/>
    <x v="87"/>
    <s v="Technology"/>
    <x v="2"/>
    <x v="86"/>
    <x v="2"/>
    <x v="76"/>
    <x v="0"/>
    <x v="86"/>
    <s v="Palo Alto, California"/>
    <x v="3"/>
  </r>
  <r>
    <n v="89"/>
    <x v="88"/>
    <s v="Agriculture manufacturing"/>
    <x v="16"/>
    <x v="87"/>
    <x v="2"/>
    <x v="77"/>
    <x v="1"/>
    <x v="87"/>
    <s v="Moline, Illinois"/>
    <x v="17"/>
  </r>
  <r>
    <n v="90"/>
    <x v="89"/>
    <s v="Apparel"/>
    <x v="19"/>
    <x v="88"/>
    <x v="2"/>
    <x v="78"/>
    <x v="0"/>
    <x v="88"/>
    <s v="Beaverton, Oregon"/>
    <x v="27"/>
  </r>
  <r>
    <n v="91"/>
    <x v="90"/>
    <s v="Insurance"/>
    <x v="14"/>
    <x v="89"/>
    <x v="2"/>
    <x v="79"/>
    <x v="1"/>
    <x v="89"/>
    <s v="Boston, Massachusetts"/>
    <x v="26"/>
  </r>
  <r>
    <n v="92"/>
    <x v="91"/>
    <s v="Petroleum industry"/>
    <x v="4"/>
    <x v="90"/>
    <x v="2"/>
    <x v="42"/>
    <x v="0"/>
    <x v="90"/>
    <s v="Houston, Texas"/>
    <x v="6"/>
  </r>
  <r>
    <n v="93"/>
    <x v="92"/>
    <s v="Insurance"/>
    <x v="14"/>
    <x v="91"/>
    <x v="2"/>
    <x v="80"/>
    <x v="0"/>
    <x v="91"/>
    <s v="San Antonio, Texas"/>
    <x v="6"/>
  </r>
  <r>
    <n v="94"/>
    <x v="93"/>
    <s v="Pharmaceutical industry"/>
    <x v="1"/>
    <x v="92"/>
    <x v="2"/>
    <x v="81"/>
    <x v="0"/>
    <x v="92"/>
    <s v="New York City, New York"/>
    <x v="8"/>
  </r>
  <r>
    <n v="95"/>
    <x v="94"/>
    <s v="Technology"/>
    <x v="2"/>
    <x v="93"/>
    <x v="2"/>
    <x v="35"/>
    <x v="1"/>
    <x v="93"/>
    <s v="Irvine, California"/>
    <x v="3"/>
  </r>
  <r>
    <n v="96"/>
    <x v="95"/>
    <s v="Aerospace and defense"/>
    <x v="15"/>
    <x v="94"/>
    <x v="2"/>
    <x v="82"/>
    <x v="0"/>
    <x v="94"/>
    <s v="Reston, Virginia"/>
    <x v="18"/>
  </r>
  <r>
    <n v="97"/>
    <x v="96"/>
    <s v="Beverage"/>
    <x v="8"/>
    <x v="95"/>
    <x v="2"/>
    <x v="83"/>
    <x v="0"/>
    <x v="95"/>
    <s v="Atlanta, Georgia"/>
    <x v="15"/>
  </r>
  <r>
    <n v="98"/>
    <x v="97"/>
    <s v="Financials"/>
    <x v="5"/>
    <x v="96"/>
    <x v="2"/>
    <x v="84"/>
    <x v="0"/>
    <x v="96"/>
    <s v="New York City, New York"/>
    <x v="8"/>
  </r>
  <r>
    <n v="99"/>
    <x v="98"/>
    <s v="Insurance"/>
    <x v="14"/>
    <x v="97"/>
    <x v="2"/>
    <x v="85"/>
    <x v="0"/>
    <x v="97"/>
    <s v="New York City, New York"/>
    <x v="8"/>
  </r>
  <r>
    <n v="100"/>
    <x v="99"/>
    <s v="Pharmaceutical industry"/>
    <x v="1"/>
    <x v="98"/>
    <x v="2"/>
    <x v="86"/>
    <x v="0"/>
    <x v="98"/>
    <s v="Indianapolis, Indiana"/>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437C16-675E-42AF-8C11-5F351C6E128E}" name="PivotTable9"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C77" firstHeaderRow="1" firstDataRow="1" firstDataCol="0"/>
  <pivotFields count="11">
    <pivotField showAll="0"/>
    <pivotField showAll="0"/>
    <pivotField showAll="0"/>
    <pivotField showAll="0"/>
    <pivotField numFmtId="1" showAll="0"/>
    <pivotField showAll="0"/>
    <pivotField numFmtId="10" showAll="0"/>
    <pivotField showAll="0"/>
    <pivotField numFmtId="1"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1925E1-452B-4300-A155-AB928BE6D015}" name="PivotTable6"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4:B47" firstHeaderRow="1" firstDataRow="1" firstDataCol="1"/>
  <pivotFields count="11">
    <pivotField showAll="0"/>
    <pivotField showAll="0"/>
    <pivotField showAll="0"/>
    <pivotField showAll="0">
      <items count="22">
        <item m="1" x="20"/>
        <item x="15"/>
        <item x="17"/>
        <item x="19"/>
        <item x="6"/>
        <item x="3"/>
        <item x="12"/>
        <item x="4"/>
        <item x="5"/>
        <item x="11"/>
        <item x="8"/>
        <item x="18"/>
        <item x="13"/>
        <item x="1"/>
        <item x="14"/>
        <item x="16"/>
        <item x="9"/>
        <item x="0"/>
        <item x="2"/>
        <item x="7"/>
        <item x="10"/>
        <item t="default"/>
      </items>
    </pivotField>
    <pivotField numFmtId="1" showAll="0"/>
    <pivotField showAll="0">
      <items count="4">
        <item x="1"/>
        <item x="2"/>
        <item x="0"/>
        <item t="default"/>
      </items>
    </pivotField>
    <pivotField numFmtId="10" showAll="0"/>
    <pivotField axis="axisRow" dataField="1" showAll="0">
      <items count="3">
        <item x="1"/>
        <item x="0"/>
        <item t="default"/>
      </items>
    </pivotField>
    <pivotField numFmtId="1" showAll="0"/>
    <pivotField showAll="0"/>
    <pivotField showAll="0">
      <items count="29">
        <item x="0"/>
        <item x="3"/>
        <item x="9"/>
        <item x="24"/>
        <item x="16"/>
        <item x="25"/>
        <item x="15"/>
        <item x="22"/>
        <item x="17"/>
        <item x="13"/>
        <item x="19"/>
        <item x="23"/>
        <item x="26"/>
        <item x="12"/>
        <item x="2"/>
        <item x="14"/>
        <item x="5"/>
        <item x="20"/>
        <item x="8"/>
        <item x="11"/>
        <item x="10"/>
        <item x="27"/>
        <item x="7"/>
        <item x="4"/>
        <item x="21"/>
        <item x="6"/>
        <item x="18"/>
        <item x="1"/>
        <item t="default"/>
      </items>
    </pivotField>
  </pivotFields>
  <rowFields count="1">
    <field x="7"/>
  </rowFields>
  <rowItems count="3">
    <i>
      <x/>
    </i>
    <i>
      <x v="1"/>
    </i>
    <i t="grand">
      <x/>
    </i>
  </rowItems>
  <colItems count="1">
    <i/>
  </colItems>
  <dataFields count="1">
    <dataField name="Count of Revenue Growth Result" fld="7"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03C147-6F50-4513-8B75-1247DC9890E2}" name="PivotTable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5:B29" firstHeaderRow="1" firstDataRow="1" firstDataCol="1"/>
  <pivotFields count="11">
    <pivotField showAll="0"/>
    <pivotField showAll="0">
      <items count="101">
        <item x="76"/>
        <item x="54"/>
        <item x="65"/>
        <item x="6"/>
        <item x="1"/>
        <item x="80"/>
        <item x="57"/>
        <item x="3"/>
        <item x="49"/>
        <item x="36"/>
        <item x="16"/>
        <item x="5"/>
        <item x="62"/>
        <item x="93"/>
        <item x="87"/>
        <item x="81"/>
        <item x="14"/>
        <item x="63"/>
        <item x="9"/>
        <item x="22"/>
        <item x="78"/>
        <item x="15"/>
        <item x="12"/>
        <item x="82"/>
        <item x="20"/>
        <item x="96"/>
        <item x="34"/>
        <item x="74"/>
        <item x="11"/>
        <item x="4"/>
        <item x="43"/>
        <item x="69"/>
        <item x="19"/>
        <item x="99"/>
        <item x="52"/>
        <item x="77"/>
        <item x="7"/>
        <item x="24"/>
        <item x="48"/>
        <item x="18"/>
        <item x="37"/>
        <item x="95"/>
        <item x="17"/>
        <item x="31"/>
        <item x="60"/>
        <item x="83"/>
        <item x="38"/>
        <item x="67"/>
        <item x="94"/>
        <item x="85"/>
        <item x="88"/>
        <item x="47"/>
        <item x="10"/>
        <item x="26"/>
        <item x="90"/>
        <item x="58"/>
        <item x="51"/>
        <item x="28"/>
        <item x="8"/>
        <item x="64"/>
        <item x="21"/>
        <item x="59"/>
        <item x="13"/>
        <item x="39"/>
        <item x="71"/>
        <item x="68"/>
        <item x="89"/>
        <item x="30"/>
        <item x="86"/>
        <item x="44"/>
        <item x="79"/>
        <item x="66"/>
        <item x="27"/>
        <item x="91"/>
        <item x="50"/>
        <item x="56"/>
        <item x="61"/>
        <item x="70"/>
        <item x="53"/>
        <item x="35"/>
        <item x="41"/>
        <item x="55"/>
        <item x="40"/>
        <item x="72"/>
        <item x="42"/>
        <item x="23"/>
        <item x="98"/>
        <item x="45"/>
        <item x="97"/>
        <item x="75"/>
        <item x="84"/>
        <item x="73"/>
        <item x="46"/>
        <item x="2"/>
        <item x="92"/>
        <item x="33"/>
        <item x="29"/>
        <item x="25"/>
        <item x="0"/>
        <item x="32"/>
        <item t="default"/>
      </items>
    </pivotField>
    <pivotField showAll="0"/>
    <pivotField showAll="0">
      <items count="22">
        <item m="1" x="20"/>
        <item x="15"/>
        <item x="17"/>
        <item x="19"/>
        <item x="6"/>
        <item x="3"/>
        <item x="12"/>
        <item x="4"/>
        <item x="5"/>
        <item x="11"/>
        <item x="8"/>
        <item x="18"/>
        <item x="13"/>
        <item x="1"/>
        <item x="14"/>
        <item x="16"/>
        <item x="9"/>
        <item x="0"/>
        <item x="2"/>
        <item x="7"/>
        <item x="10"/>
        <item t="default"/>
      </items>
    </pivotField>
    <pivotField numFmtId="1" showAll="0">
      <items count="100">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6"/>
        <item x="17"/>
        <item x="15"/>
        <item x="14"/>
        <item x="13"/>
        <item x="12"/>
        <item x="11"/>
        <item x="10"/>
        <item x="9"/>
        <item x="8"/>
        <item x="7"/>
        <item x="6"/>
        <item x="5"/>
        <item x="4"/>
        <item x="3"/>
        <item x="2"/>
        <item x="1"/>
        <item x="0"/>
        <item t="default"/>
      </items>
    </pivotField>
    <pivotField axis="axisRow" dataField="1" showAll="0">
      <items count="4">
        <item x="1"/>
        <item x="2"/>
        <item x="0"/>
        <item t="default"/>
      </items>
    </pivotField>
    <pivotField numFmtId="10" showAll="0"/>
    <pivotField showAll="0">
      <items count="3">
        <item x="1"/>
        <item x="0"/>
        <item t="default"/>
      </items>
    </pivotField>
    <pivotField numFmtId="1" showAll="0"/>
    <pivotField showAll="0"/>
    <pivotField showAll="0">
      <items count="29">
        <item x="0"/>
        <item x="3"/>
        <item x="9"/>
        <item x="24"/>
        <item x="16"/>
        <item x="25"/>
        <item x="15"/>
        <item x="22"/>
        <item x="17"/>
        <item x="13"/>
        <item x="19"/>
        <item x="23"/>
        <item x="26"/>
        <item x="12"/>
        <item x="2"/>
        <item x="14"/>
        <item x="5"/>
        <item x="20"/>
        <item x="8"/>
        <item x="11"/>
        <item x="10"/>
        <item x="27"/>
        <item x="7"/>
        <item x="4"/>
        <item x="21"/>
        <item x="6"/>
        <item x="18"/>
        <item x="1"/>
        <item t="default"/>
      </items>
    </pivotField>
  </pivotFields>
  <rowFields count="1">
    <field x="5"/>
  </rowFields>
  <rowItems count="4">
    <i>
      <x/>
    </i>
    <i>
      <x v="1"/>
    </i>
    <i>
      <x v="2"/>
    </i>
    <i t="grand">
      <x/>
    </i>
  </rowItems>
  <colItems count="1">
    <i/>
  </colItems>
  <dataFields count="1">
    <dataField name="Count of Revenue Brackets" fld="5"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14EC00-2E17-414F-9713-26A25462EC8A}"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22" firstHeaderRow="1" firstDataRow="1" firstDataCol="1"/>
  <pivotFields count="11">
    <pivotField showAll="0"/>
    <pivotField showAll="0"/>
    <pivotField showAll="0"/>
    <pivotField axis="axisRow" dataField="1" showAll="0" sortType="descending">
      <items count="22">
        <item m="1" x="20"/>
        <item x="15"/>
        <item x="17"/>
        <item x="19"/>
        <item x="6"/>
        <item x="3"/>
        <item x="4"/>
        <item x="5"/>
        <item x="11"/>
        <item x="8"/>
        <item x="18"/>
        <item x="13"/>
        <item x="1"/>
        <item x="14"/>
        <item x="16"/>
        <item x="9"/>
        <item x="0"/>
        <item x="2"/>
        <item x="7"/>
        <item x="10"/>
        <item x="12"/>
        <item t="default"/>
      </items>
      <autoSortScope>
        <pivotArea dataOnly="0" outline="0" fieldPosition="0">
          <references count="1">
            <reference field="4294967294" count="1" selected="0">
              <x v="0"/>
            </reference>
          </references>
        </pivotArea>
      </autoSortScope>
    </pivotField>
    <pivotField numFmtId="1" showAll="0"/>
    <pivotField showAll="0">
      <items count="4">
        <item x="1"/>
        <item x="2"/>
        <item x="0"/>
        <item t="default"/>
      </items>
    </pivotField>
    <pivotField numFmtId="10" showAll="0"/>
    <pivotField showAll="0">
      <items count="3">
        <item x="1"/>
        <item x="0"/>
        <item t="default"/>
      </items>
    </pivotField>
    <pivotField numFmtId="1" showAll="0"/>
    <pivotField showAll="0"/>
    <pivotField showAll="0">
      <items count="29">
        <item x="0"/>
        <item x="3"/>
        <item x="9"/>
        <item x="24"/>
        <item x="16"/>
        <item x="25"/>
        <item x="15"/>
        <item x="22"/>
        <item x="17"/>
        <item x="13"/>
        <item x="19"/>
        <item x="23"/>
        <item x="26"/>
        <item x="12"/>
        <item x="2"/>
        <item x="14"/>
        <item x="5"/>
        <item x="20"/>
        <item x="8"/>
        <item x="11"/>
        <item x="10"/>
        <item x="27"/>
        <item x="7"/>
        <item x="4"/>
        <item x="21"/>
        <item x="6"/>
        <item x="18"/>
        <item x="1"/>
        <item t="default"/>
      </items>
    </pivotField>
  </pivotFields>
  <rowFields count="1">
    <field x="3"/>
  </rowFields>
  <rowItems count="21">
    <i>
      <x v="12"/>
    </i>
    <i>
      <x v="7"/>
    </i>
    <i>
      <x v="17"/>
    </i>
    <i>
      <x v="16"/>
    </i>
    <i>
      <x v="6"/>
    </i>
    <i>
      <x v="13"/>
    </i>
    <i>
      <x v="18"/>
    </i>
    <i>
      <x v="4"/>
    </i>
    <i>
      <x v="1"/>
    </i>
    <i>
      <x v="2"/>
    </i>
    <i>
      <x v="14"/>
    </i>
    <i>
      <x v="5"/>
    </i>
    <i>
      <x v="19"/>
    </i>
    <i>
      <x v="9"/>
    </i>
    <i>
      <x v="10"/>
    </i>
    <i>
      <x v="15"/>
    </i>
    <i>
      <x v="3"/>
    </i>
    <i>
      <x v="20"/>
    </i>
    <i>
      <x v="8"/>
    </i>
    <i>
      <x v="11"/>
    </i>
    <i t="grand">
      <x/>
    </i>
  </rowItems>
  <colItems count="1">
    <i/>
  </colItems>
  <dataFields count="1">
    <dataField name="Count of Standardized Industry"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ndardized_Industry" xr10:uid="{17AB3315-746B-4BE2-B9EB-173B27639070}" sourceName="Standardized Industry">
  <pivotTables>
    <pivotTable tabId="3" name="PivotTable5"/>
    <pivotTable tabId="3" name="PivotTable2"/>
    <pivotTable tabId="3" name="PivotTable6"/>
  </pivotTables>
  <data>
    <tabular pivotCacheId="355110725">
      <items count="21">
        <i x="15" s="1"/>
        <i x="17" s="1"/>
        <i x="19" s="1"/>
        <i x="6" s="1"/>
        <i x="3" s="1"/>
        <i x="12" s="1"/>
        <i x="4" s="1"/>
        <i x="5" s="1"/>
        <i x="11" s="1"/>
        <i x="8" s="1"/>
        <i x="18" s="1"/>
        <i x="13" s="1"/>
        <i x="1" s="1"/>
        <i x="14" s="1"/>
        <i x="16" s="1"/>
        <i x="9" s="1"/>
        <i x="0" s="1"/>
        <i x="2" s="1"/>
        <i x="7" s="1"/>
        <i x="10" s="1"/>
        <i x="2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_Brackets" xr10:uid="{83E07DE0-2124-453A-B188-ED21C68420E0}" sourceName="Revenue Brackets">
  <pivotTables>
    <pivotTable tabId="3" name="PivotTable5"/>
    <pivotTable tabId="3" name="PivotTable2"/>
    <pivotTable tabId="3" name="PivotTable6"/>
  </pivotTables>
  <data>
    <tabular pivotCacheId="35511072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_Growth_Result" xr10:uid="{6B96B2F3-5337-437F-8E57-2CC3A60511ED}" sourceName="Revenue Growth Result">
  <pivotTables>
    <pivotTable tabId="3" name="PivotTable5"/>
    <pivotTable tabId="3" name="PivotTable2"/>
    <pivotTable tabId="3" name="PivotTable6"/>
  </pivotTables>
  <data>
    <tabular pivotCacheId="35511072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dquarters_State" xr10:uid="{64290EEE-B4D8-48AB-9821-936652C27C8F}" sourceName="Headquarters State">
  <pivotTables>
    <pivotTable tabId="3" name="PivotTable5"/>
    <pivotTable tabId="3" name="PivotTable2"/>
    <pivotTable tabId="3" name="PivotTable6"/>
  </pivotTables>
  <data>
    <tabular pivotCacheId="355110725">
      <items count="28">
        <i x="0" s="1"/>
        <i x="3" s="1"/>
        <i x="9" s="1"/>
        <i x="24" s="1"/>
        <i x="16" s="1"/>
        <i x="25" s="1"/>
        <i x="15" s="1"/>
        <i x="22" s="1"/>
        <i x="17" s="1"/>
        <i x="13" s="1"/>
        <i x="19" s="1"/>
        <i x="23" s="1"/>
        <i x="26" s="1"/>
        <i x="12" s="1"/>
        <i x="2" s="1"/>
        <i x="14" s="1"/>
        <i x="5" s="1"/>
        <i x="20" s="1"/>
        <i x="8" s="1"/>
        <i x="11" s="1"/>
        <i x="10" s="1"/>
        <i x="27" s="1"/>
        <i x="7" s="1"/>
        <i x="4" s="1"/>
        <i x="21" s="1"/>
        <i x="6" s="1"/>
        <i x="18"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ndardized Industry" xr10:uid="{D386D6E9-D41F-4AE3-AF71-F1C4BF169F5A}" cache="Slicer_Standardized_Industry" caption="Standardized Industry" rowHeight="247650"/>
  <slicer name="Revenue Brackets" xr10:uid="{4C86A822-02A8-466D-8ACE-8076DC914E96}" cache="Slicer_Revenue_Brackets" caption="Revenue Brackets" rowHeight="247650"/>
  <slicer name="Revenue Growth Result" xr10:uid="{CE4E8395-8ED4-4D57-8673-177E40A3F84A}" cache="Slicer_Revenue_Growth_Result" caption="Revenue Growth Result" rowHeight="247650"/>
  <slicer name="Headquarters State" xr10:uid="{207A9156-C6C4-47F8-842A-988ED3A967B5}" cache="Slicer_Headquarters_State" caption="Headquarters Stat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E1F1DF-CC8D-4C7D-B2AA-FAD1245181BF}" name="IndustryTable" displayName="IndustryTable" ref="A1:B35" totalsRowShown="0">
  <autoFilter ref="A1:B35" xr:uid="{48E1F1DF-CC8D-4C7D-B2AA-FAD1245181BF}"/>
  <tableColumns count="2">
    <tableColumn id="1" xr3:uid="{7603B9C5-BB7E-4606-9056-2B7B8B4F48A5}" name="Raw Industry"/>
    <tableColumn id="2" xr3:uid="{38FE61A7-46E7-4E8F-9BAA-0671E4FBAF1D}" name="Standardized Indus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E2A91-1A7E-452C-84E2-9648FC933539}">
  <dimension ref="A1:G101"/>
  <sheetViews>
    <sheetView workbookViewId="0">
      <selection sqref="A1:XFD1048576"/>
    </sheetView>
  </sheetViews>
  <sheetFormatPr defaultRowHeight="14.4" x14ac:dyDescent="0.3"/>
  <sheetData>
    <row r="1" spans="1:7" x14ac:dyDescent="0.3">
      <c r="A1" t="s">
        <v>0</v>
      </c>
      <c r="B1" t="s">
        <v>1</v>
      </c>
      <c r="C1" t="s">
        <v>2</v>
      </c>
      <c r="D1" t="s">
        <v>3</v>
      </c>
      <c r="E1" t="s">
        <v>4</v>
      </c>
      <c r="F1" t="s">
        <v>5</v>
      </c>
      <c r="G1" t="s">
        <v>6</v>
      </c>
    </row>
    <row r="2" spans="1:7" x14ac:dyDescent="0.3">
      <c r="A2">
        <v>1</v>
      </c>
      <c r="B2" t="s">
        <v>7</v>
      </c>
      <c r="C2" t="s">
        <v>8</v>
      </c>
      <c r="D2" s="1">
        <v>680985</v>
      </c>
      <c r="E2" s="2">
        <v>5.0999999999999997E-2</v>
      </c>
      <c r="F2" s="1">
        <v>2100000</v>
      </c>
      <c r="G2" t="s">
        <v>9</v>
      </c>
    </row>
    <row r="3" spans="1:7" x14ac:dyDescent="0.3">
      <c r="A3">
        <v>2</v>
      </c>
      <c r="B3" t="s">
        <v>10</v>
      </c>
      <c r="C3" t="s">
        <v>11</v>
      </c>
      <c r="D3" s="1">
        <v>637959</v>
      </c>
      <c r="E3" s="2">
        <v>0.11</v>
      </c>
      <c r="F3" s="1">
        <v>1556000</v>
      </c>
      <c r="G3" t="s">
        <v>12</v>
      </c>
    </row>
    <row r="4" spans="1:7" x14ac:dyDescent="0.3">
      <c r="A4">
        <v>3</v>
      </c>
      <c r="B4" t="s">
        <v>13</v>
      </c>
      <c r="C4" t="s">
        <v>14</v>
      </c>
      <c r="D4" s="1">
        <v>400278</v>
      </c>
      <c r="E4" s="2">
        <v>7.6999999999999999E-2</v>
      </c>
      <c r="F4" s="1">
        <v>400000</v>
      </c>
      <c r="G4" t="s">
        <v>15</v>
      </c>
    </row>
    <row r="5" spans="1:7" x14ac:dyDescent="0.3">
      <c r="A5">
        <v>4</v>
      </c>
      <c r="B5" t="s">
        <v>16</v>
      </c>
      <c r="C5" t="s">
        <v>17</v>
      </c>
      <c r="D5" s="1">
        <v>391035</v>
      </c>
      <c r="E5" s="2">
        <v>0.02</v>
      </c>
      <c r="F5" s="1">
        <v>164000</v>
      </c>
      <c r="G5" t="s">
        <v>18</v>
      </c>
    </row>
    <row r="6" spans="1:7" x14ac:dyDescent="0.3">
      <c r="A6">
        <v>5</v>
      </c>
      <c r="B6" t="s">
        <v>19</v>
      </c>
      <c r="C6" t="s">
        <v>14</v>
      </c>
      <c r="D6" s="1">
        <v>372809</v>
      </c>
      <c r="E6" s="2">
        <v>4.2000000000000003E-2</v>
      </c>
      <c r="F6" s="1">
        <v>259500</v>
      </c>
      <c r="G6" t="s">
        <v>20</v>
      </c>
    </row>
    <row r="7" spans="1:7" x14ac:dyDescent="0.3">
      <c r="A7">
        <v>6</v>
      </c>
      <c r="B7" t="s">
        <v>21</v>
      </c>
      <c r="C7" t="s">
        <v>22</v>
      </c>
      <c r="D7" s="1">
        <v>371433</v>
      </c>
      <c r="E7" s="2">
        <v>1.9E-2</v>
      </c>
      <c r="F7" s="1">
        <v>392400</v>
      </c>
      <c r="G7" t="s">
        <v>23</v>
      </c>
    </row>
    <row r="8" spans="1:7" x14ac:dyDescent="0.3">
      <c r="A8">
        <v>7</v>
      </c>
      <c r="B8" t="s">
        <v>24</v>
      </c>
      <c r="C8" t="s">
        <v>25</v>
      </c>
      <c r="D8" s="1">
        <v>350018</v>
      </c>
      <c r="E8" s="2">
        <v>0.13900000000000001</v>
      </c>
      <c r="F8" s="1">
        <v>183323</v>
      </c>
      <c r="G8" t="s">
        <v>26</v>
      </c>
    </row>
    <row r="9" spans="1:7" x14ac:dyDescent="0.3">
      <c r="A9">
        <v>8</v>
      </c>
      <c r="B9" t="s">
        <v>27</v>
      </c>
      <c r="C9" t="s">
        <v>28</v>
      </c>
      <c r="D9" s="1">
        <v>349595</v>
      </c>
      <c r="E9" s="2">
        <v>1.4999999999999999E-2</v>
      </c>
      <c r="F9" s="1">
        <v>60900</v>
      </c>
      <c r="G9" t="s">
        <v>29</v>
      </c>
    </row>
    <row r="10" spans="1:7" x14ac:dyDescent="0.3">
      <c r="A10">
        <v>9</v>
      </c>
      <c r="B10" t="s">
        <v>30</v>
      </c>
      <c r="C10" t="s">
        <v>31</v>
      </c>
      <c r="D10" s="1">
        <v>308951</v>
      </c>
      <c r="E10" s="2">
        <v>0.11700000000000001</v>
      </c>
      <c r="F10" s="1">
        <v>48000</v>
      </c>
      <c r="G10" t="s">
        <v>32</v>
      </c>
    </row>
    <row r="11" spans="1:7" x14ac:dyDescent="0.3">
      <c r="A11">
        <v>10</v>
      </c>
      <c r="B11" t="s">
        <v>33</v>
      </c>
      <c r="C11" t="s">
        <v>34</v>
      </c>
      <c r="D11" s="1">
        <v>293959</v>
      </c>
      <c r="E11" s="2">
        <v>0.121</v>
      </c>
      <c r="F11" s="1">
        <v>44000</v>
      </c>
      <c r="G11" t="s">
        <v>35</v>
      </c>
    </row>
    <row r="12" spans="1:7" x14ac:dyDescent="0.3">
      <c r="A12">
        <v>11</v>
      </c>
      <c r="B12" t="s">
        <v>36</v>
      </c>
      <c r="C12" t="s">
        <v>37</v>
      </c>
      <c r="D12" s="1">
        <v>278906</v>
      </c>
      <c r="E12" s="2">
        <v>0.16500000000000001</v>
      </c>
      <c r="F12" s="1">
        <v>317233</v>
      </c>
      <c r="G12" t="s">
        <v>38</v>
      </c>
    </row>
    <row r="13" spans="1:7" x14ac:dyDescent="0.3">
      <c r="A13">
        <v>12</v>
      </c>
      <c r="B13" t="s">
        <v>39</v>
      </c>
      <c r="C13" t="s">
        <v>8</v>
      </c>
      <c r="D13" s="1">
        <v>254453</v>
      </c>
      <c r="E13" s="2">
        <v>0.05</v>
      </c>
      <c r="F13" s="1">
        <v>333000</v>
      </c>
      <c r="G13" t="s">
        <v>40</v>
      </c>
    </row>
    <row r="14" spans="1:7" x14ac:dyDescent="0.3">
      <c r="A14">
        <v>13</v>
      </c>
      <c r="B14" t="s">
        <v>41</v>
      </c>
      <c r="C14" t="s">
        <v>42</v>
      </c>
      <c r="D14" s="1">
        <v>247121</v>
      </c>
      <c r="E14" s="2">
        <v>0.26600000000000001</v>
      </c>
      <c r="F14" s="1">
        <v>72398</v>
      </c>
      <c r="G14" t="s">
        <v>43</v>
      </c>
    </row>
    <row r="15" spans="1:7" x14ac:dyDescent="0.3">
      <c r="A15">
        <v>14</v>
      </c>
      <c r="B15" t="s">
        <v>44</v>
      </c>
      <c r="C15" t="s">
        <v>25</v>
      </c>
      <c r="D15" s="1">
        <v>245122</v>
      </c>
      <c r="E15" s="2">
        <v>0.157</v>
      </c>
      <c r="F15" s="1">
        <v>228000</v>
      </c>
      <c r="G15" t="s">
        <v>45</v>
      </c>
    </row>
    <row r="16" spans="1:7" x14ac:dyDescent="0.3">
      <c r="A16">
        <v>15</v>
      </c>
      <c r="B16" t="s">
        <v>46</v>
      </c>
      <c r="C16" t="s">
        <v>14</v>
      </c>
      <c r="D16" s="1">
        <v>226827</v>
      </c>
      <c r="E16" s="2">
        <v>0.106</v>
      </c>
      <c r="F16" s="1">
        <v>48411</v>
      </c>
      <c r="G16" t="s">
        <v>47</v>
      </c>
    </row>
    <row r="17" spans="1:7" x14ac:dyDescent="0.3">
      <c r="A17">
        <v>16</v>
      </c>
      <c r="B17" t="s">
        <v>48</v>
      </c>
      <c r="C17" t="s">
        <v>28</v>
      </c>
      <c r="D17" s="1">
        <v>202792</v>
      </c>
      <c r="E17" s="2">
        <v>8.9999999999999993E-3</v>
      </c>
      <c r="F17" s="1">
        <v>45298</v>
      </c>
      <c r="G17" t="s">
        <v>49</v>
      </c>
    </row>
    <row r="18" spans="1:7" x14ac:dyDescent="0.3">
      <c r="A18">
        <v>17</v>
      </c>
      <c r="B18" t="s">
        <v>50</v>
      </c>
      <c r="C18" t="s">
        <v>51</v>
      </c>
      <c r="D18" s="1">
        <v>184992</v>
      </c>
      <c r="E18" s="2">
        <v>0.11899999999999999</v>
      </c>
      <c r="F18" s="1">
        <v>213193</v>
      </c>
      <c r="G18" t="s">
        <v>52</v>
      </c>
    </row>
    <row r="19" spans="1:7" x14ac:dyDescent="0.3">
      <c r="A19">
        <v>18</v>
      </c>
      <c r="B19" t="s">
        <v>53</v>
      </c>
      <c r="C19" t="s">
        <v>54</v>
      </c>
      <c r="D19" s="1">
        <v>187442</v>
      </c>
      <c r="E19" s="2">
        <v>9.0999999999999998E-2</v>
      </c>
      <c r="F19" s="1">
        <v>162000</v>
      </c>
      <c r="G19" t="s">
        <v>55</v>
      </c>
    </row>
    <row r="20" spans="1:7" x14ac:dyDescent="0.3">
      <c r="A20">
        <v>19</v>
      </c>
      <c r="B20" t="s">
        <v>56</v>
      </c>
      <c r="C20" t="s">
        <v>54</v>
      </c>
      <c r="D20" s="1">
        <v>184992</v>
      </c>
      <c r="E20" s="2">
        <v>0.05</v>
      </c>
      <c r="F20" s="1">
        <v>171000</v>
      </c>
      <c r="G20" t="s">
        <v>57</v>
      </c>
    </row>
    <row r="21" spans="1:7" x14ac:dyDescent="0.3">
      <c r="A21">
        <v>20</v>
      </c>
      <c r="B21" t="s">
        <v>58</v>
      </c>
      <c r="C21" t="s">
        <v>14</v>
      </c>
      <c r="D21" s="1">
        <v>177011</v>
      </c>
      <c r="E21" s="2">
        <v>3.3000000000000002E-2</v>
      </c>
      <c r="F21" s="1">
        <v>103679</v>
      </c>
      <c r="G21" t="s">
        <v>59</v>
      </c>
    </row>
    <row r="22" spans="1:7" x14ac:dyDescent="0.3">
      <c r="A22">
        <v>21</v>
      </c>
      <c r="B22" t="s">
        <v>60</v>
      </c>
      <c r="C22" t="s">
        <v>51</v>
      </c>
      <c r="D22" s="1">
        <v>170757</v>
      </c>
      <c r="E22" s="2">
        <v>8.8999999999999996E-2</v>
      </c>
      <c r="F22" s="1">
        <v>227855</v>
      </c>
      <c r="G22" t="s">
        <v>38</v>
      </c>
    </row>
    <row r="23" spans="1:7" x14ac:dyDescent="0.3">
      <c r="A23">
        <v>22</v>
      </c>
      <c r="B23" t="s">
        <v>61</v>
      </c>
      <c r="C23" t="s">
        <v>62</v>
      </c>
      <c r="D23" s="1">
        <v>164501</v>
      </c>
      <c r="E23" s="2">
        <v>0.219</v>
      </c>
      <c r="F23" s="1">
        <v>74067</v>
      </c>
      <c r="G23" t="s">
        <v>63</v>
      </c>
    </row>
    <row r="24" spans="1:7" x14ac:dyDescent="0.3">
      <c r="A24">
        <v>23</v>
      </c>
      <c r="B24" t="s">
        <v>64</v>
      </c>
      <c r="C24" t="s">
        <v>14</v>
      </c>
      <c r="D24" s="1">
        <v>163071</v>
      </c>
      <c r="E24" s="2">
        <v>5.8999999999999997E-2</v>
      </c>
      <c r="F24" s="1">
        <v>60500</v>
      </c>
      <c r="G24" t="s">
        <v>65</v>
      </c>
    </row>
    <row r="25" spans="1:7" x14ac:dyDescent="0.3">
      <c r="A25">
        <v>24</v>
      </c>
      <c r="B25" t="s">
        <v>66</v>
      </c>
      <c r="C25" t="s">
        <v>8</v>
      </c>
      <c r="D25" s="1">
        <v>159514</v>
      </c>
      <c r="E25" s="2">
        <v>4.4999999999999998E-2</v>
      </c>
      <c r="F25" s="1">
        <v>470100</v>
      </c>
      <c r="G25" t="s">
        <v>67</v>
      </c>
    </row>
    <row r="26" spans="1:7" x14ac:dyDescent="0.3">
      <c r="A26">
        <v>25</v>
      </c>
      <c r="B26" t="s">
        <v>68</v>
      </c>
      <c r="C26" t="s">
        <v>51</v>
      </c>
      <c r="D26" s="1">
        <v>152670</v>
      </c>
      <c r="E26" s="2">
        <v>8.1000000000000003E-2</v>
      </c>
      <c r="F26" s="1">
        <v>8200</v>
      </c>
      <c r="G26" t="s">
        <v>69</v>
      </c>
    </row>
    <row r="27" spans="1:7" x14ac:dyDescent="0.3">
      <c r="A27">
        <v>26</v>
      </c>
      <c r="B27" t="s">
        <v>70</v>
      </c>
      <c r="C27" t="s">
        <v>71</v>
      </c>
      <c r="D27" s="1">
        <v>147658</v>
      </c>
      <c r="E27" s="2">
        <v>6.2E-2</v>
      </c>
      <c r="F27" s="1">
        <v>252500</v>
      </c>
      <c r="G27" t="s">
        <v>72</v>
      </c>
    </row>
    <row r="28" spans="1:7" x14ac:dyDescent="0.3">
      <c r="A28">
        <v>27</v>
      </c>
      <c r="B28" t="s">
        <v>73</v>
      </c>
      <c r="C28" t="s">
        <v>8</v>
      </c>
      <c r="D28" s="1">
        <v>147123</v>
      </c>
      <c r="E28" s="2">
        <v>-1.9E-2</v>
      </c>
      <c r="F28" s="1">
        <v>409000</v>
      </c>
      <c r="G28" t="s">
        <v>74</v>
      </c>
    </row>
    <row r="29" spans="1:7" x14ac:dyDescent="0.3">
      <c r="A29">
        <v>28</v>
      </c>
      <c r="B29" t="s">
        <v>75</v>
      </c>
      <c r="C29" t="s">
        <v>28</v>
      </c>
      <c r="D29" s="1">
        <v>145496</v>
      </c>
      <c r="E29" s="2">
        <v>-2.9000000000000001E-2</v>
      </c>
      <c r="F29" s="1">
        <v>13200</v>
      </c>
      <c r="G29" t="s">
        <v>49</v>
      </c>
    </row>
    <row r="30" spans="1:7" x14ac:dyDescent="0.3">
      <c r="A30">
        <v>29</v>
      </c>
      <c r="B30" t="s">
        <v>76</v>
      </c>
      <c r="C30" t="s">
        <v>28</v>
      </c>
      <c r="D30" s="1">
        <v>140412</v>
      </c>
      <c r="E30" s="2">
        <v>-6.6000000000000003E-2</v>
      </c>
      <c r="F30" s="1">
        <v>18300</v>
      </c>
      <c r="G30" t="s">
        <v>77</v>
      </c>
    </row>
    <row r="31" spans="1:7" x14ac:dyDescent="0.3">
      <c r="A31">
        <v>30</v>
      </c>
      <c r="B31" t="s">
        <v>78</v>
      </c>
      <c r="C31" t="s">
        <v>79</v>
      </c>
      <c r="D31" s="1">
        <v>134788</v>
      </c>
      <c r="E31" s="2">
        <v>6.0000000000000001E-3</v>
      </c>
      <c r="F31" s="1">
        <v>99600</v>
      </c>
      <c r="G31" t="s">
        <v>38</v>
      </c>
    </row>
    <row r="32" spans="1:7" x14ac:dyDescent="0.3">
      <c r="A32">
        <v>31</v>
      </c>
      <c r="B32" t="s">
        <v>80</v>
      </c>
      <c r="C32" t="s">
        <v>62</v>
      </c>
      <c r="D32" s="1">
        <v>130497</v>
      </c>
      <c r="E32" s="2">
        <v>1.1419999999999999</v>
      </c>
      <c r="F32" s="1">
        <v>36000</v>
      </c>
      <c r="G32" t="s">
        <v>81</v>
      </c>
    </row>
    <row r="33" spans="1:7" x14ac:dyDescent="0.3">
      <c r="A33">
        <v>32</v>
      </c>
      <c r="B33" t="s">
        <v>82</v>
      </c>
      <c r="C33" t="s">
        <v>51</v>
      </c>
      <c r="D33" s="1">
        <v>126853</v>
      </c>
      <c r="E33" s="2">
        <v>0.17</v>
      </c>
      <c r="F33" s="1">
        <v>46500</v>
      </c>
      <c r="G33" t="s">
        <v>38</v>
      </c>
    </row>
    <row r="34" spans="1:7" x14ac:dyDescent="0.3">
      <c r="A34">
        <v>33</v>
      </c>
      <c r="B34" t="s">
        <v>83</v>
      </c>
      <c r="C34" t="s">
        <v>51</v>
      </c>
      <c r="D34" s="1">
        <v>125397</v>
      </c>
      <c r="E34" s="2">
        <v>8.6999999999999994E-2</v>
      </c>
      <c r="F34" s="1">
        <v>217502</v>
      </c>
      <c r="G34" t="s">
        <v>84</v>
      </c>
    </row>
    <row r="35" spans="1:7" x14ac:dyDescent="0.3">
      <c r="A35">
        <v>34</v>
      </c>
      <c r="B35" t="s">
        <v>85</v>
      </c>
      <c r="C35" t="s">
        <v>28</v>
      </c>
      <c r="D35" s="1">
        <v>123974</v>
      </c>
      <c r="E35" s="2">
        <v>-0.108</v>
      </c>
      <c r="F35" s="1">
        <v>9910</v>
      </c>
      <c r="G35" t="s">
        <v>86</v>
      </c>
    </row>
    <row r="36" spans="1:7" x14ac:dyDescent="0.3">
      <c r="A36">
        <v>35</v>
      </c>
      <c r="B36" t="s">
        <v>87</v>
      </c>
      <c r="C36" t="s">
        <v>79</v>
      </c>
      <c r="D36" s="1">
        <v>123731</v>
      </c>
      <c r="E36" s="2">
        <v>1.7999999999999999E-2</v>
      </c>
      <c r="F36" s="1">
        <v>182000</v>
      </c>
      <c r="G36" t="s">
        <v>88</v>
      </c>
    </row>
    <row r="37" spans="1:7" x14ac:dyDescent="0.3">
      <c r="A37">
        <v>36</v>
      </c>
      <c r="B37" t="s">
        <v>89</v>
      </c>
      <c r="C37" t="s">
        <v>51</v>
      </c>
      <c r="D37" s="1">
        <v>122951</v>
      </c>
      <c r="E37" s="2">
        <v>0.18</v>
      </c>
      <c r="F37" s="1">
        <v>67381</v>
      </c>
      <c r="G37" t="s">
        <v>90</v>
      </c>
    </row>
    <row r="38" spans="1:7" x14ac:dyDescent="0.3">
      <c r="A38">
        <v>37</v>
      </c>
      <c r="B38" t="s">
        <v>91</v>
      </c>
      <c r="C38" t="s">
        <v>92</v>
      </c>
      <c r="D38" s="1">
        <v>122336</v>
      </c>
      <c r="E38" s="2">
        <v>-1E-3</v>
      </c>
      <c r="F38" s="1">
        <v>140990</v>
      </c>
      <c r="G38" t="s">
        <v>93</v>
      </c>
    </row>
    <row r="39" spans="1:7" x14ac:dyDescent="0.3">
      <c r="A39">
        <v>38</v>
      </c>
      <c r="B39" t="s">
        <v>94</v>
      </c>
      <c r="C39" t="s">
        <v>51</v>
      </c>
      <c r="D39" s="1">
        <v>122052</v>
      </c>
      <c r="E39" s="2">
        <v>0.13</v>
      </c>
      <c r="F39" s="1">
        <v>8090</v>
      </c>
      <c r="G39" t="s">
        <v>95</v>
      </c>
    </row>
    <row r="40" spans="1:7" x14ac:dyDescent="0.3">
      <c r="A40">
        <v>39</v>
      </c>
      <c r="B40" t="s">
        <v>96</v>
      </c>
      <c r="C40" t="s">
        <v>42</v>
      </c>
      <c r="D40" s="1">
        <v>117761</v>
      </c>
      <c r="E40" s="2">
        <v>0.107</v>
      </c>
      <c r="F40" s="1">
        <v>65680</v>
      </c>
      <c r="G40" t="s">
        <v>97</v>
      </c>
    </row>
    <row r="41" spans="1:7" x14ac:dyDescent="0.3">
      <c r="A41">
        <v>40</v>
      </c>
      <c r="B41" t="s">
        <v>98</v>
      </c>
      <c r="C41" t="s">
        <v>51</v>
      </c>
      <c r="D41" s="1">
        <v>107285</v>
      </c>
      <c r="E41" s="2">
        <v>0.115</v>
      </c>
      <c r="F41" s="1">
        <v>80478</v>
      </c>
      <c r="G41" t="s">
        <v>38</v>
      </c>
    </row>
    <row r="42" spans="1:7" x14ac:dyDescent="0.3">
      <c r="A42">
        <v>41</v>
      </c>
      <c r="B42" t="s">
        <v>99</v>
      </c>
      <c r="C42" t="s">
        <v>8</v>
      </c>
      <c r="D42" s="1">
        <v>106566</v>
      </c>
      <c r="E42" s="2">
        <v>-8.0000000000000002E-3</v>
      </c>
      <c r="F42" s="1">
        <v>440000</v>
      </c>
      <c r="G42" t="s">
        <v>100</v>
      </c>
    </row>
    <row r="43" spans="1:7" x14ac:dyDescent="0.3">
      <c r="A43">
        <v>42</v>
      </c>
      <c r="B43" t="s">
        <v>101</v>
      </c>
      <c r="C43" t="s">
        <v>51</v>
      </c>
      <c r="D43" s="1">
        <v>99888</v>
      </c>
      <c r="E43" s="2">
        <v>0.64100000000000001</v>
      </c>
      <c r="F43" s="1">
        <v>4500</v>
      </c>
      <c r="G43" t="s">
        <v>38</v>
      </c>
    </row>
    <row r="44" spans="1:7" x14ac:dyDescent="0.3">
      <c r="A44">
        <v>43</v>
      </c>
      <c r="B44" t="s">
        <v>102</v>
      </c>
      <c r="C44" t="s">
        <v>103</v>
      </c>
      <c r="D44" s="1">
        <v>97690</v>
      </c>
      <c r="E44" s="2">
        <v>8.9999999999999993E-3</v>
      </c>
      <c r="F44" s="1">
        <v>125665</v>
      </c>
      <c r="G44" t="s">
        <v>104</v>
      </c>
    </row>
    <row r="45" spans="1:7" x14ac:dyDescent="0.3">
      <c r="A45">
        <v>44</v>
      </c>
      <c r="B45" t="s">
        <v>105</v>
      </c>
      <c r="C45" t="s">
        <v>62</v>
      </c>
      <c r="D45" s="1">
        <v>95567</v>
      </c>
      <c r="E45" s="2">
        <v>8.1000000000000003E-2</v>
      </c>
      <c r="F45" s="1">
        <v>108000</v>
      </c>
      <c r="G45" t="s">
        <v>106</v>
      </c>
    </row>
    <row r="46" spans="1:7" x14ac:dyDescent="0.3">
      <c r="A46">
        <v>45</v>
      </c>
      <c r="B46" t="s">
        <v>107</v>
      </c>
      <c r="C46" t="s">
        <v>108</v>
      </c>
      <c r="D46" s="1">
        <v>91854</v>
      </c>
      <c r="E46" s="2">
        <v>4.0000000000000001E-3</v>
      </c>
      <c r="F46" s="1">
        <v>319000</v>
      </c>
      <c r="G46" t="s">
        <v>109</v>
      </c>
    </row>
    <row r="47" spans="1:7" x14ac:dyDescent="0.3">
      <c r="A47">
        <v>46</v>
      </c>
      <c r="B47" t="s">
        <v>110</v>
      </c>
      <c r="C47" t="s">
        <v>111</v>
      </c>
      <c r="D47" s="1">
        <v>91361</v>
      </c>
      <c r="E47" s="2">
        <v>2.8000000000000001E-2</v>
      </c>
      <c r="F47" s="1">
        <v>205040</v>
      </c>
      <c r="G47" t="s">
        <v>112</v>
      </c>
    </row>
    <row r="48" spans="1:7" x14ac:dyDescent="0.3">
      <c r="A48">
        <v>47</v>
      </c>
      <c r="B48" t="s">
        <v>113</v>
      </c>
      <c r="C48" t="s">
        <v>114</v>
      </c>
      <c r="D48" s="1">
        <v>91070</v>
      </c>
      <c r="E48" s="2">
        <v>1E-3</v>
      </c>
      <c r="F48" s="1">
        <v>372180</v>
      </c>
      <c r="G48" t="s">
        <v>67</v>
      </c>
    </row>
    <row r="49" spans="1:7" x14ac:dyDescent="0.3">
      <c r="A49">
        <v>48</v>
      </c>
      <c r="B49" t="s">
        <v>115</v>
      </c>
      <c r="C49" t="s">
        <v>71</v>
      </c>
      <c r="D49" s="1">
        <v>88821</v>
      </c>
      <c r="E49" s="2">
        <v>-6.7000000000000004E-2</v>
      </c>
      <c r="F49" s="1">
        <v>138100</v>
      </c>
      <c r="G49" t="s">
        <v>116</v>
      </c>
    </row>
    <row r="50" spans="1:7" x14ac:dyDescent="0.3">
      <c r="A50">
        <v>49</v>
      </c>
      <c r="B50" t="s">
        <v>117</v>
      </c>
      <c r="C50" t="s">
        <v>114</v>
      </c>
      <c r="D50" s="1">
        <v>87693</v>
      </c>
      <c r="E50" s="2">
        <v>-2.7E-2</v>
      </c>
      <c r="F50" s="1">
        <v>422100</v>
      </c>
      <c r="G50" t="s">
        <v>118</v>
      </c>
    </row>
    <row r="51" spans="1:7" x14ac:dyDescent="0.3">
      <c r="A51">
        <v>50</v>
      </c>
      <c r="B51" t="s">
        <v>119</v>
      </c>
      <c r="C51" t="s">
        <v>120</v>
      </c>
      <c r="D51" s="1">
        <v>85530</v>
      </c>
      <c r="E51" s="2">
        <v>-8.8999999999999996E-2</v>
      </c>
      <c r="F51" s="1">
        <v>43213</v>
      </c>
      <c r="G51" t="s">
        <v>121</v>
      </c>
    </row>
    <row r="52" spans="1:7" x14ac:dyDescent="0.3">
      <c r="A52">
        <v>51</v>
      </c>
      <c r="B52" t="s">
        <v>122</v>
      </c>
      <c r="C52" t="s">
        <v>123</v>
      </c>
      <c r="D52" s="1">
        <v>84039</v>
      </c>
      <c r="E52" s="2">
        <v>2.5000000000000001E-2</v>
      </c>
      <c r="F52" s="1">
        <v>108000</v>
      </c>
      <c r="G52" t="s">
        <v>74</v>
      </c>
    </row>
    <row r="53" spans="1:7" x14ac:dyDescent="0.3">
      <c r="A53">
        <v>52</v>
      </c>
      <c r="B53" t="s">
        <v>124</v>
      </c>
      <c r="C53" t="s">
        <v>8</v>
      </c>
      <c r="D53" s="1">
        <v>83674</v>
      </c>
      <c r="E53" s="2">
        <v>-3.1E-2</v>
      </c>
      <c r="F53" s="1">
        <v>215500</v>
      </c>
      <c r="G53" t="s">
        <v>125</v>
      </c>
    </row>
    <row r="54" spans="1:7" x14ac:dyDescent="0.3">
      <c r="A54">
        <v>53</v>
      </c>
      <c r="B54" t="s">
        <v>126</v>
      </c>
      <c r="C54" t="s">
        <v>28</v>
      </c>
      <c r="D54" s="1">
        <v>82671</v>
      </c>
      <c r="E54" s="2">
        <v>5.1999999999999998E-2</v>
      </c>
      <c r="F54" s="1">
        <v>16248</v>
      </c>
      <c r="G54" t="s">
        <v>93</v>
      </c>
    </row>
    <row r="55" spans="1:7" x14ac:dyDescent="0.3">
      <c r="A55">
        <v>54</v>
      </c>
      <c r="B55" t="s">
        <v>127</v>
      </c>
      <c r="C55" t="s">
        <v>22</v>
      </c>
      <c r="D55" s="1">
        <v>80739</v>
      </c>
      <c r="E55" s="2">
        <v>0.17100000000000001</v>
      </c>
      <c r="F55" s="1">
        <v>186000</v>
      </c>
      <c r="G55" t="s">
        <v>128</v>
      </c>
    </row>
    <row r="56" spans="1:7" x14ac:dyDescent="0.3">
      <c r="A56">
        <v>55</v>
      </c>
      <c r="B56" t="s">
        <v>129</v>
      </c>
      <c r="C56" t="s">
        <v>8</v>
      </c>
      <c r="D56" s="1">
        <v>79238</v>
      </c>
      <c r="E56" s="2">
        <v>0.02</v>
      </c>
      <c r="F56" s="1">
        <v>196650</v>
      </c>
      <c r="G56" t="s">
        <v>130</v>
      </c>
    </row>
    <row r="57" spans="1:7" x14ac:dyDescent="0.3">
      <c r="A57">
        <v>56</v>
      </c>
      <c r="B57" t="s">
        <v>131</v>
      </c>
      <c r="C57" t="s">
        <v>132</v>
      </c>
      <c r="D57" s="1">
        <v>78844</v>
      </c>
      <c r="E57" s="2">
        <v>3.3000000000000002E-2</v>
      </c>
      <c r="F57" s="1">
        <v>76000</v>
      </c>
      <c r="G57" t="s">
        <v>49</v>
      </c>
    </row>
    <row r="58" spans="1:7" x14ac:dyDescent="0.3">
      <c r="A58">
        <v>57</v>
      </c>
      <c r="B58" t="s">
        <v>133</v>
      </c>
      <c r="C58" t="s">
        <v>134</v>
      </c>
      <c r="D58" s="1">
        <v>75372</v>
      </c>
      <c r="E58" s="2">
        <v>0.214</v>
      </c>
      <c r="F58" s="1">
        <v>66308</v>
      </c>
      <c r="G58" t="s">
        <v>135</v>
      </c>
    </row>
    <row r="59" spans="1:7" x14ac:dyDescent="0.3">
      <c r="A59">
        <v>58</v>
      </c>
      <c r="B59" t="s">
        <v>136</v>
      </c>
      <c r="C59" t="s">
        <v>137</v>
      </c>
      <c r="D59" s="1">
        <v>74201</v>
      </c>
      <c r="E59" s="2">
        <v>0.10100000000000001</v>
      </c>
      <c r="F59" s="1">
        <v>75100</v>
      </c>
      <c r="G59" t="s">
        <v>38</v>
      </c>
    </row>
    <row r="60" spans="1:7" x14ac:dyDescent="0.3">
      <c r="A60">
        <v>59</v>
      </c>
      <c r="B60" t="s">
        <v>138</v>
      </c>
      <c r="C60" t="s">
        <v>139</v>
      </c>
      <c r="D60" s="1">
        <v>71043</v>
      </c>
      <c r="E60" s="2">
        <v>5.0999999999999997E-2</v>
      </c>
      <c r="F60" s="1">
        <v>121000</v>
      </c>
      <c r="G60" t="s">
        <v>140</v>
      </c>
    </row>
    <row r="61" spans="1:7" x14ac:dyDescent="0.3">
      <c r="A61">
        <v>60</v>
      </c>
      <c r="B61" t="s">
        <v>141</v>
      </c>
      <c r="C61" t="s">
        <v>51</v>
      </c>
      <c r="D61" s="1">
        <v>70986</v>
      </c>
      <c r="E61" s="2">
        <v>6.0999999999999999E-2</v>
      </c>
      <c r="F61" s="1">
        <v>45000</v>
      </c>
      <c r="G61" t="s">
        <v>38</v>
      </c>
    </row>
    <row r="62" spans="1:7" x14ac:dyDescent="0.3">
      <c r="A62">
        <v>61</v>
      </c>
      <c r="B62" t="s">
        <v>142</v>
      </c>
      <c r="C62" t="s">
        <v>14</v>
      </c>
      <c r="D62" s="1">
        <v>70603</v>
      </c>
      <c r="E62" s="2">
        <v>8.6999999999999994E-2</v>
      </c>
      <c r="F62" s="1">
        <v>271000</v>
      </c>
      <c r="G62" t="s">
        <v>143</v>
      </c>
    </row>
    <row r="63" spans="1:7" x14ac:dyDescent="0.3">
      <c r="A63">
        <v>62</v>
      </c>
      <c r="B63" t="s">
        <v>144</v>
      </c>
      <c r="C63" t="s">
        <v>51</v>
      </c>
      <c r="D63" s="1">
        <v>70405</v>
      </c>
      <c r="E63" s="2">
        <v>0.30399999999999999</v>
      </c>
      <c r="F63" s="1">
        <v>37936</v>
      </c>
      <c r="G63" t="s">
        <v>145</v>
      </c>
    </row>
    <row r="64" spans="1:7" x14ac:dyDescent="0.3">
      <c r="A64">
        <v>63</v>
      </c>
      <c r="B64" t="s">
        <v>146</v>
      </c>
      <c r="C64" t="s">
        <v>139</v>
      </c>
      <c r="D64" s="1">
        <v>66517</v>
      </c>
      <c r="E64" s="2">
        <v>-0.14499999999999999</v>
      </c>
      <c r="F64" s="1">
        <v>172000</v>
      </c>
      <c r="G64" t="s">
        <v>128</v>
      </c>
    </row>
    <row r="65" spans="1:7" x14ac:dyDescent="0.3">
      <c r="A65">
        <v>64</v>
      </c>
      <c r="B65" t="s">
        <v>147</v>
      </c>
      <c r="C65" t="s">
        <v>148</v>
      </c>
      <c r="D65" s="1">
        <v>64809</v>
      </c>
      <c r="E65" s="2">
        <v>-3.4000000000000002E-2</v>
      </c>
      <c r="F65" s="1">
        <v>112900</v>
      </c>
      <c r="G65" t="s">
        <v>32</v>
      </c>
    </row>
    <row r="66" spans="1:7" x14ac:dyDescent="0.3">
      <c r="A66">
        <v>65</v>
      </c>
      <c r="B66" t="s">
        <v>149</v>
      </c>
      <c r="C66" t="s">
        <v>71</v>
      </c>
      <c r="D66" s="1">
        <v>64168</v>
      </c>
      <c r="E66" s="2">
        <v>6.7000000000000004E-2</v>
      </c>
      <c r="F66" s="1">
        <v>74000</v>
      </c>
      <c r="G66" t="s">
        <v>150</v>
      </c>
    </row>
    <row r="67" spans="1:7" x14ac:dyDescent="0.3">
      <c r="A67">
        <v>66</v>
      </c>
      <c r="B67" t="s">
        <v>151</v>
      </c>
      <c r="C67" t="s">
        <v>134</v>
      </c>
      <c r="D67" s="1">
        <v>64106</v>
      </c>
      <c r="E67" s="2">
        <v>0.123</v>
      </c>
      <c r="F67" s="1">
        <v>55200</v>
      </c>
      <c r="G67" t="s">
        <v>152</v>
      </c>
    </row>
    <row r="68" spans="1:7" x14ac:dyDescent="0.3">
      <c r="A68">
        <v>67</v>
      </c>
      <c r="B68" t="s">
        <v>153</v>
      </c>
      <c r="C68" t="s">
        <v>71</v>
      </c>
      <c r="D68" s="1">
        <v>63627</v>
      </c>
      <c r="E68" s="2">
        <v>8.7999999999999995E-2</v>
      </c>
      <c r="F68" s="1">
        <v>81000</v>
      </c>
      <c r="G68" t="s">
        <v>38</v>
      </c>
    </row>
    <row r="69" spans="1:7" x14ac:dyDescent="0.3">
      <c r="A69">
        <v>68</v>
      </c>
      <c r="B69" t="s">
        <v>154</v>
      </c>
      <c r="C69" t="s">
        <v>25</v>
      </c>
      <c r="D69" s="1">
        <v>62753</v>
      </c>
      <c r="E69" s="2">
        <v>1.4E-2</v>
      </c>
      <c r="F69" s="1">
        <v>284500</v>
      </c>
      <c r="G69" t="s">
        <v>155</v>
      </c>
    </row>
    <row r="70" spans="1:7" x14ac:dyDescent="0.3">
      <c r="A70">
        <v>69</v>
      </c>
      <c r="B70" t="s">
        <v>156</v>
      </c>
      <c r="C70" t="s">
        <v>134</v>
      </c>
      <c r="D70" s="1">
        <v>62639</v>
      </c>
      <c r="E70" s="2">
        <v>0.153</v>
      </c>
      <c r="F70" s="1">
        <v>15131</v>
      </c>
      <c r="G70" t="s">
        <v>38</v>
      </c>
    </row>
    <row r="71" spans="1:7" x14ac:dyDescent="0.3">
      <c r="A71">
        <v>70</v>
      </c>
      <c r="B71" t="s">
        <v>157</v>
      </c>
      <c r="C71" t="s">
        <v>158</v>
      </c>
      <c r="D71" s="1">
        <v>61643</v>
      </c>
      <c r="E71" s="2">
        <v>6.2E-2</v>
      </c>
      <c r="F71" s="1">
        <v>103000</v>
      </c>
      <c r="G71" t="s">
        <v>67</v>
      </c>
    </row>
    <row r="72" spans="1:7" x14ac:dyDescent="0.3">
      <c r="A72">
        <v>71</v>
      </c>
      <c r="B72" t="s">
        <v>159</v>
      </c>
      <c r="C72" t="s">
        <v>8</v>
      </c>
      <c r="D72" s="1">
        <v>60177</v>
      </c>
      <c r="E72" s="2">
        <v>4.5999999999999999E-2</v>
      </c>
      <c r="F72" s="1">
        <v>255000</v>
      </c>
      <c r="G72" t="s">
        <v>160</v>
      </c>
    </row>
    <row r="73" spans="1:7" x14ac:dyDescent="0.3">
      <c r="A73">
        <v>72</v>
      </c>
      <c r="B73" t="s">
        <v>161</v>
      </c>
      <c r="C73" t="s">
        <v>137</v>
      </c>
      <c r="D73" s="1">
        <v>58646</v>
      </c>
      <c r="E73" s="2">
        <v>7.3999999999999996E-2</v>
      </c>
      <c r="F73" s="1">
        <v>22453</v>
      </c>
      <c r="G73" t="s">
        <v>162</v>
      </c>
    </row>
    <row r="74" spans="1:7" x14ac:dyDescent="0.3">
      <c r="A74">
        <v>73</v>
      </c>
      <c r="B74" t="s">
        <v>163</v>
      </c>
      <c r="C74" t="s">
        <v>164</v>
      </c>
      <c r="D74" s="1">
        <v>58452</v>
      </c>
      <c r="E74" s="2">
        <v>1.6E-2</v>
      </c>
      <c r="F74" s="1">
        <v>25750</v>
      </c>
      <c r="G74" t="s">
        <v>165</v>
      </c>
    </row>
    <row r="75" spans="1:7" x14ac:dyDescent="0.3">
      <c r="A75">
        <v>74</v>
      </c>
      <c r="B75" t="s">
        <v>166</v>
      </c>
      <c r="C75" t="s">
        <v>158</v>
      </c>
      <c r="D75" s="1">
        <v>57063</v>
      </c>
      <c r="E75" s="2">
        <v>6.2E-2</v>
      </c>
      <c r="F75" s="1">
        <v>107300</v>
      </c>
      <c r="G75" t="s">
        <v>121</v>
      </c>
    </row>
    <row r="76" spans="1:7" x14ac:dyDescent="0.3">
      <c r="A76">
        <v>75</v>
      </c>
      <c r="B76" t="s">
        <v>167</v>
      </c>
      <c r="C76" t="s">
        <v>28</v>
      </c>
      <c r="D76" s="1">
        <v>56953</v>
      </c>
      <c r="E76" s="2">
        <v>-2.8000000000000001E-2</v>
      </c>
      <c r="F76" s="1">
        <v>11800</v>
      </c>
      <c r="G76" t="s">
        <v>49</v>
      </c>
    </row>
    <row r="77" spans="1:7" x14ac:dyDescent="0.3">
      <c r="A77">
        <v>76</v>
      </c>
      <c r="B77" t="s">
        <v>168</v>
      </c>
      <c r="C77" t="s">
        <v>8</v>
      </c>
      <c r="D77" s="1">
        <v>56360</v>
      </c>
      <c r="E77" s="2">
        <v>0.04</v>
      </c>
      <c r="F77" s="1">
        <v>364000</v>
      </c>
      <c r="G77" t="s">
        <v>169</v>
      </c>
    </row>
    <row r="78" spans="1:7" x14ac:dyDescent="0.3">
      <c r="A78">
        <v>77</v>
      </c>
      <c r="B78" t="s">
        <v>170</v>
      </c>
      <c r="C78" t="s">
        <v>71</v>
      </c>
      <c r="D78" s="1">
        <v>56334</v>
      </c>
      <c r="E78" s="2">
        <v>3.6999999999999998E-2</v>
      </c>
      <c r="F78" s="1">
        <v>55000</v>
      </c>
      <c r="G78" t="s">
        <v>171</v>
      </c>
    </row>
    <row r="79" spans="1:7" x14ac:dyDescent="0.3">
      <c r="A79">
        <v>78</v>
      </c>
      <c r="B79" t="s">
        <v>172</v>
      </c>
      <c r="C79" t="s">
        <v>28</v>
      </c>
      <c r="D79" s="1">
        <v>56219</v>
      </c>
      <c r="E79" s="2">
        <v>0.13100000000000001</v>
      </c>
      <c r="F79" s="1">
        <v>7800</v>
      </c>
      <c r="G79" t="s">
        <v>49</v>
      </c>
    </row>
    <row r="80" spans="1:7" x14ac:dyDescent="0.3">
      <c r="A80">
        <v>79</v>
      </c>
      <c r="B80" t="s">
        <v>173</v>
      </c>
      <c r="C80" t="s">
        <v>79</v>
      </c>
      <c r="D80" s="1">
        <v>55085</v>
      </c>
      <c r="E80" s="2">
        <v>8.9999999999999993E-3</v>
      </c>
      <c r="F80" s="1">
        <v>94500</v>
      </c>
      <c r="G80" t="s">
        <v>174</v>
      </c>
    </row>
    <row r="81" spans="1:7" x14ac:dyDescent="0.3">
      <c r="A81">
        <v>80</v>
      </c>
      <c r="B81" t="s">
        <v>175</v>
      </c>
      <c r="C81" t="s">
        <v>176</v>
      </c>
      <c r="D81" s="1">
        <v>54681</v>
      </c>
      <c r="E81" s="2">
        <v>2.5000000000000001E-2</v>
      </c>
      <c r="F81" s="1">
        <v>36815</v>
      </c>
      <c r="G81" t="s">
        <v>177</v>
      </c>
    </row>
    <row r="82" spans="1:7" x14ac:dyDescent="0.3">
      <c r="A82">
        <v>81</v>
      </c>
      <c r="B82" t="s">
        <v>178</v>
      </c>
      <c r="C82" t="s">
        <v>158</v>
      </c>
      <c r="D82" s="1">
        <v>54211</v>
      </c>
      <c r="E82" s="2">
        <v>2.7E-2</v>
      </c>
      <c r="F82" s="1">
        <v>133300</v>
      </c>
      <c r="G82" t="s">
        <v>179</v>
      </c>
    </row>
    <row r="83" spans="1:7" x14ac:dyDescent="0.3">
      <c r="A83">
        <v>82</v>
      </c>
      <c r="B83" t="s">
        <v>180</v>
      </c>
      <c r="C83" t="s">
        <v>51</v>
      </c>
      <c r="D83" s="1">
        <v>53938</v>
      </c>
      <c r="E83" s="2">
        <v>0.09</v>
      </c>
      <c r="F83" s="1">
        <v>52600</v>
      </c>
      <c r="G83" t="s">
        <v>177</v>
      </c>
    </row>
    <row r="84" spans="1:7" x14ac:dyDescent="0.3">
      <c r="A84">
        <v>83</v>
      </c>
      <c r="B84" t="s">
        <v>181</v>
      </c>
      <c r="C84" t="s">
        <v>182</v>
      </c>
      <c r="D84" s="1">
        <v>53803</v>
      </c>
      <c r="E84" s="2">
        <v>-5.6000000000000001E-2</v>
      </c>
      <c r="F84" s="1">
        <v>90400</v>
      </c>
      <c r="G84" t="s">
        <v>183</v>
      </c>
    </row>
    <row r="85" spans="1:7" x14ac:dyDescent="0.3">
      <c r="A85">
        <v>84</v>
      </c>
      <c r="B85" t="s">
        <v>184</v>
      </c>
      <c r="C85" t="s">
        <v>62</v>
      </c>
      <c r="D85" s="1">
        <v>53559</v>
      </c>
      <c r="E85" s="2">
        <v>-3.0000000000000001E-3</v>
      </c>
      <c r="F85" s="1">
        <v>58000</v>
      </c>
      <c r="G85" t="s">
        <v>185</v>
      </c>
    </row>
    <row r="86" spans="1:7" x14ac:dyDescent="0.3">
      <c r="A86">
        <v>85</v>
      </c>
      <c r="B86" t="s">
        <v>186</v>
      </c>
      <c r="C86" t="s">
        <v>176</v>
      </c>
      <c r="D86" s="1">
        <v>53309</v>
      </c>
      <c r="E86" s="2">
        <v>8.0000000000000002E-3</v>
      </c>
      <c r="F86" s="1">
        <v>138000</v>
      </c>
      <c r="G86" t="s">
        <v>187</v>
      </c>
    </row>
    <row r="87" spans="1:7" x14ac:dyDescent="0.3">
      <c r="A87">
        <v>86</v>
      </c>
      <c r="B87" t="s">
        <v>188</v>
      </c>
      <c r="C87" t="s">
        <v>62</v>
      </c>
      <c r="D87" s="1">
        <v>53101</v>
      </c>
      <c r="E87" s="2">
        <v>-2.1000000000000001E-2</v>
      </c>
      <c r="F87" s="1">
        <v>108900</v>
      </c>
      <c r="G87" t="s">
        <v>81</v>
      </c>
    </row>
    <row r="88" spans="1:7" x14ac:dyDescent="0.3">
      <c r="A88">
        <v>87</v>
      </c>
      <c r="B88" t="s">
        <v>189</v>
      </c>
      <c r="C88" t="s">
        <v>62</v>
      </c>
      <c r="D88" s="1">
        <v>52961</v>
      </c>
      <c r="E88" s="2">
        <v>0.06</v>
      </c>
      <c r="F88" s="1">
        <v>159000</v>
      </c>
      <c r="G88" t="s">
        <v>104</v>
      </c>
    </row>
    <row r="89" spans="1:7" x14ac:dyDescent="0.3">
      <c r="A89">
        <v>88</v>
      </c>
      <c r="B89" t="s">
        <v>190</v>
      </c>
      <c r="C89" t="s">
        <v>62</v>
      </c>
      <c r="D89" s="1">
        <v>52432</v>
      </c>
      <c r="E89" s="2">
        <v>0.46400000000000002</v>
      </c>
      <c r="F89" s="1">
        <v>37000</v>
      </c>
      <c r="G89" t="s">
        <v>185</v>
      </c>
    </row>
    <row r="90" spans="1:7" x14ac:dyDescent="0.3">
      <c r="A90">
        <v>89</v>
      </c>
      <c r="B90" t="s">
        <v>191</v>
      </c>
      <c r="C90" t="s">
        <v>192</v>
      </c>
      <c r="D90" s="1">
        <v>51716</v>
      </c>
      <c r="E90" s="2">
        <v>-0.156</v>
      </c>
      <c r="F90" s="1">
        <v>55524</v>
      </c>
      <c r="G90" t="s">
        <v>193</v>
      </c>
    </row>
    <row r="91" spans="1:7" x14ac:dyDescent="0.3">
      <c r="A91">
        <v>90</v>
      </c>
      <c r="B91" t="s">
        <v>194</v>
      </c>
      <c r="C91" t="s">
        <v>195</v>
      </c>
      <c r="D91" s="1">
        <v>51361</v>
      </c>
      <c r="E91" s="2">
        <v>3.0000000000000001E-3</v>
      </c>
      <c r="F91" s="1">
        <v>78400</v>
      </c>
      <c r="G91" t="s">
        <v>196</v>
      </c>
    </row>
    <row r="92" spans="1:7" x14ac:dyDescent="0.3">
      <c r="A92">
        <v>91</v>
      </c>
      <c r="B92" t="s">
        <v>197</v>
      </c>
      <c r="C92" t="s">
        <v>134</v>
      </c>
      <c r="D92" s="1">
        <v>50429</v>
      </c>
      <c r="E92" s="2">
        <v>-4.1000000000000002E-2</v>
      </c>
      <c r="F92" s="1">
        <v>40000</v>
      </c>
      <c r="G92" t="s">
        <v>198</v>
      </c>
    </row>
    <row r="93" spans="1:7" x14ac:dyDescent="0.3">
      <c r="A93">
        <v>92</v>
      </c>
      <c r="B93" t="s">
        <v>199</v>
      </c>
      <c r="C93" t="s">
        <v>28</v>
      </c>
      <c r="D93" s="1">
        <v>50073</v>
      </c>
      <c r="E93" s="2">
        <v>2.8000000000000001E-2</v>
      </c>
      <c r="F93" s="1">
        <v>4200</v>
      </c>
      <c r="G93" t="s">
        <v>49</v>
      </c>
    </row>
    <row r="94" spans="1:7" x14ac:dyDescent="0.3">
      <c r="A94">
        <v>93</v>
      </c>
      <c r="B94" t="s">
        <v>200</v>
      </c>
      <c r="C94" t="s">
        <v>134</v>
      </c>
      <c r="D94" s="1">
        <v>48560</v>
      </c>
      <c r="E94" s="2">
        <v>0.14299999999999999</v>
      </c>
      <c r="F94" s="1">
        <v>38018</v>
      </c>
      <c r="G94" t="s">
        <v>86</v>
      </c>
    </row>
    <row r="95" spans="1:7" x14ac:dyDescent="0.3">
      <c r="A95">
        <v>94</v>
      </c>
      <c r="B95" t="s">
        <v>201</v>
      </c>
      <c r="C95" t="s">
        <v>71</v>
      </c>
      <c r="D95" s="1">
        <v>48300</v>
      </c>
      <c r="E95" s="2">
        <v>7.2999999999999995E-2</v>
      </c>
      <c r="F95" s="1">
        <v>34100</v>
      </c>
      <c r="G95" t="s">
        <v>38</v>
      </c>
    </row>
    <row r="96" spans="1:7" x14ac:dyDescent="0.3">
      <c r="A96">
        <v>95</v>
      </c>
      <c r="B96" t="s">
        <v>202</v>
      </c>
      <c r="C96" t="s">
        <v>62</v>
      </c>
      <c r="D96" s="1">
        <v>47984</v>
      </c>
      <c r="E96" s="2">
        <v>-1E-3</v>
      </c>
      <c r="F96" s="1">
        <v>26125</v>
      </c>
      <c r="G96" t="s">
        <v>203</v>
      </c>
    </row>
    <row r="97" spans="1:7" x14ac:dyDescent="0.3">
      <c r="A97">
        <v>96</v>
      </c>
      <c r="B97" t="s">
        <v>204</v>
      </c>
      <c r="C97" t="s">
        <v>139</v>
      </c>
      <c r="D97" s="1">
        <v>47716</v>
      </c>
      <c r="E97" s="2">
        <v>0.129</v>
      </c>
      <c r="F97" s="1">
        <v>117000</v>
      </c>
      <c r="G97" t="s">
        <v>205</v>
      </c>
    </row>
    <row r="98" spans="1:7" x14ac:dyDescent="0.3">
      <c r="A98">
        <v>97</v>
      </c>
      <c r="B98" t="s">
        <v>206</v>
      </c>
      <c r="C98" t="s">
        <v>108</v>
      </c>
      <c r="D98" s="1">
        <v>47061</v>
      </c>
      <c r="E98" s="2">
        <v>2.9000000000000001E-2</v>
      </c>
      <c r="F98" s="1">
        <v>69700</v>
      </c>
      <c r="G98" t="s">
        <v>67</v>
      </c>
    </row>
    <row r="99" spans="1:7" x14ac:dyDescent="0.3">
      <c r="A99">
        <v>98</v>
      </c>
      <c r="B99" t="s">
        <v>207</v>
      </c>
      <c r="C99" t="s">
        <v>51</v>
      </c>
      <c r="D99" s="1">
        <v>46946</v>
      </c>
      <c r="E99" s="2">
        <v>2.5999999999999999E-2</v>
      </c>
      <c r="F99" s="1">
        <v>15623</v>
      </c>
      <c r="G99" t="s">
        <v>38</v>
      </c>
    </row>
    <row r="100" spans="1:7" x14ac:dyDescent="0.3">
      <c r="A100">
        <v>99</v>
      </c>
      <c r="B100" t="s">
        <v>208</v>
      </c>
      <c r="C100" t="s">
        <v>134</v>
      </c>
      <c r="D100" s="1">
        <v>46423</v>
      </c>
      <c r="E100" s="2">
        <v>0.122</v>
      </c>
      <c r="F100" s="1">
        <v>34000</v>
      </c>
      <c r="G100" t="s">
        <v>38</v>
      </c>
    </row>
    <row r="101" spans="1:7" x14ac:dyDescent="0.3">
      <c r="A101">
        <v>100</v>
      </c>
      <c r="B101" t="s">
        <v>209</v>
      </c>
      <c r="C101" t="s">
        <v>71</v>
      </c>
      <c r="D101" s="1">
        <v>45043</v>
      </c>
      <c r="E101" s="2">
        <v>0.32</v>
      </c>
      <c r="F101" s="1">
        <v>47000</v>
      </c>
      <c r="G101" t="s">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D9200-F859-4196-B869-87C5DE7BF6D7}">
  <dimension ref="A1:K101"/>
  <sheetViews>
    <sheetView workbookViewId="0">
      <selection activeCell="I5" sqref="I5"/>
    </sheetView>
  </sheetViews>
  <sheetFormatPr defaultRowHeight="14.4" x14ac:dyDescent="0.3"/>
  <cols>
    <col min="5" max="5" width="9.5546875" style="3" bestFit="1" customWidth="1"/>
    <col min="6" max="6" width="9.5546875" style="3" customWidth="1"/>
    <col min="9" max="9" width="10.5546875" style="3" bestFit="1" customWidth="1"/>
  </cols>
  <sheetData>
    <row r="1" spans="1:11" x14ac:dyDescent="0.3">
      <c r="A1" t="s">
        <v>0</v>
      </c>
      <c r="B1" t="s">
        <v>1</v>
      </c>
      <c r="C1" t="s">
        <v>2</v>
      </c>
      <c r="D1" t="s">
        <v>212</v>
      </c>
      <c r="E1" s="3" t="s">
        <v>3</v>
      </c>
      <c r="F1" s="3" t="s">
        <v>215</v>
      </c>
      <c r="G1" t="s">
        <v>4</v>
      </c>
      <c r="H1" t="s">
        <v>214</v>
      </c>
      <c r="I1" s="3" t="s">
        <v>5</v>
      </c>
      <c r="J1" t="s">
        <v>6</v>
      </c>
      <c r="K1" t="s">
        <v>213</v>
      </c>
    </row>
    <row r="2" spans="1:11" x14ac:dyDescent="0.3">
      <c r="A2">
        <v>1</v>
      </c>
      <c r="B2" t="s">
        <v>7</v>
      </c>
      <c r="C2" t="s">
        <v>8</v>
      </c>
      <c r="D2" t="str">
        <f>_xlfn.XLOOKUP(C2, IndustryTable[Raw Industry], IndustryTable[Standardized Industry], "Unmapped")</f>
        <v>Retail</v>
      </c>
      <c r="E2" s="3">
        <v>680985</v>
      </c>
      <c r="F2" s="3" t="str" cm="1">
        <f t="array" ref="F2">_xlfn.IFS(E2 &gt; 500000,"Over $500,000", E2 &gt;= 100000, "Between $100,000-$500,000", E2 &lt; 100000, "Less than $100,000")</f>
        <v>Over $500,000</v>
      </c>
      <c r="G2" s="2">
        <v>5.0999999999999997E-2</v>
      </c>
      <c r="H2" s="2" t="str">
        <f>IF(G2 &gt; 0, "Positive Growth", "Negative Growth")</f>
        <v>Positive Growth</v>
      </c>
      <c r="I2" s="3">
        <v>2100000</v>
      </c>
      <c r="J2" t="s">
        <v>9</v>
      </c>
      <c r="K2" t="str">
        <f>TRIM(RIGHT(J2, LEN(J2) - FIND(",", J2)))</f>
        <v>Arkansas</v>
      </c>
    </row>
    <row r="3" spans="1:11" x14ac:dyDescent="0.3">
      <c r="A3">
        <v>2</v>
      </c>
      <c r="B3" t="s">
        <v>10</v>
      </c>
      <c r="C3" t="s">
        <v>11</v>
      </c>
      <c r="D3" t="str">
        <f>_xlfn.XLOOKUP(C3, IndustryTable[Raw Industry], IndustryTable[Standardized Industry], "Unmapped")</f>
        <v>Retail</v>
      </c>
      <c r="E3" s="3">
        <v>637959</v>
      </c>
      <c r="F3" s="3" t="str" cm="1">
        <f t="array" ref="F3">_xlfn.IFS(E3 &gt; 500000,"Over $500,000", E3 &gt;= 100000, "Between $100,000-$500,000", E3 &lt; 100000, "Less than $100,000")</f>
        <v>Over $500,000</v>
      </c>
      <c r="G3" s="2">
        <v>0.11</v>
      </c>
      <c r="H3" s="2" t="str">
        <f t="shared" ref="H3:H66" si="0">IF(G3 &gt; 0, "Positive Growth", "Negative Growth")</f>
        <v>Positive Growth</v>
      </c>
      <c r="I3" s="3">
        <v>1556000</v>
      </c>
      <c r="J3" t="s">
        <v>12</v>
      </c>
      <c r="K3" t="str">
        <f t="shared" ref="K3:K66" si="1">TRIM(RIGHT(J3, LEN(J3) - FIND(",", J3)))</f>
        <v>Washington</v>
      </c>
    </row>
    <row r="4" spans="1:11" x14ac:dyDescent="0.3">
      <c r="A4">
        <v>3</v>
      </c>
      <c r="B4" t="s">
        <v>13</v>
      </c>
      <c r="C4" t="s">
        <v>14</v>
      </c>
      <c r="D4" t="str">
        <f>_xlfn.XLOOKUP(C4, IndustryTable[Raw Industry], IndustryTable[Standardized Industry], "Unmapped")</f>
        <v>Healthcare</v>
      </c>
      <c r="E4" s="3">
        <v>400278</v>
      </c>
      <c r="F4" s="3" t="str" cm="1">
        <f t="array" ref="F4">_xlfn.IFS(E4 &gt; 500000,"Over $500,000", E4 &gt;= 100000, "Between $100,000-$500,000", E4 &lt; 100000, "Less than $100,000")</f>
        <v>Between $100,000-$500,000</v>
      </c>
      <c r="G4" s="2">
        <v>7.6999999999999999E-2</v>
      </c>
      <c r="H4" s="2" t="str">
        <f t="shared" si="0"/>
        <v>Positive Growth</v>
      </c>
      <c r="I4" s="3">
        <v>400000</v>
      </c>
      <c r="J4" t="s">
        <v>15</v>
      </c>
      <c r="K4" t="str">
        <f t="shared" si="1"/>
        <v>Minnesota</v>
      </c>
    </row>
    <row r="5" spans="1:11" x14ac:dyDescent="0.3">
      <c r="A5">
        <v>4</v>
      </c>
      <c r="B5" t="s">
        <v>16</v>
      </c>
      <c r="C5" t="s">
        <v>17</v>
      </c>
      <c r="D5" t="str">
        <f>_xlfn.XLOOKUP(C5, IndustryTable[Raw Industry], IndustryTable[Standardized Industry], "Unmapped")</f>
        <v>Technology</v>
      </c>
      <c r="E5" s="3">
        <v>391035</v>
      </c>
      <c r="F5" s="3" t="str" cm="1">
        <f t="array" ref="F5">_xlfn.IFS(E5 &gt; 500000,"Over $500,000", E5 &gt;= 100000, "Between $100,000-$500,000", E5 &lt; 100000, "Less than $100,000")</f>
        <v>Between $100,000-$500,000</v>
      </c>
      <c r="G5" s="2">
        <v>0.02</v>
      </c>
      <c r="H5" s="2" t="str">
        <f t="shared" si="0"/>
        <v>Positive Growth</v>
      </c>
      <c r="I5" s="3">
        <v>164000</v>
      </c>
      <c r="J5" t="s">
        <v>18</v>
      </c>
      <c r="K5" t="str">
        <f t="shared" si="1"/>
        <v>California</v>
      </c>
    </row>
    <row r="6" spans="1:11" x14ac:dyDescent="0.3">
      <c r="A6">
        <v>5</v>
      </c>
      <c r="B6" t="s">
        <v>19</v>
      </c>
      <c r="C6" t="s">
        <v>14</v>
      </c>
      <c r="D6" t="str">
        <f>_xlfn.XLOOKUP(C6, IndustryTable[Raw Industry], IndustryTable[Standardized Industry], "Unmapped")</f>
        <v>Healthcare</v>
      </c>
      <c r="E6" s="3">
        <v>372809</v>
      </c>
      <c r="F6" s="3" t="str" cm="1">
        <f t="array" ref="F6">_xlfn.IFS(E6 &gt; 500000,"Over $500,000", E6 &gt;= 100000, "Between $100,000-$500,000", E6 &lt; 100000, "Less than $100,000")</f>
        <v>Between $100,000-$500,000</v>
      </c>
      <c r="G6" s="2">
        <v>4.2000000000000003E-2</v>
      </c>
      <c r="H6" s="2" t="str">
        <f t="shared" si="0"/>
        <v>Positive Growth</v>
      </c>
      <c r="I6" s="3">
        <v>259500</v>
      </c>
      <c r="J6" t="s">
        <v>20</v>
      </c>
      <c r="K6" t="str">
        <f t="shared" si="1"/>
        <v>Rhode Island</v>
      </c>
    </row>
    <row r="7" spans="1:11" x14ac:dyDescent="0.3">
      <c r="A7">
        <v>6</v>
      </c>
      <c r="B7" t="s">
        <v>21</v>
      </c>
      <c r="C7" t="s">
        <v>22</v>
      </c>
      <c r="D7" t="str">
        <f>_xlfn.XLOOKUP(C7, IndustryTable[Raw Industry], IndustryTable[Standardized Industry], "Unmapped")</f>
        <v>Colglomerate</v>
      </c>
      <c r="E7" s="3">
        <v>371433</v>
      </c>
      <c r="F7" s="3" t="str" cm="1">
        <f t="array" ref="F7">_xlfn.IFS(E7 &gt; 500000,"Over $500,000", E7 &gt;= 100000, "Between $100,000-$500,000", E7 &lt; 100000, "Less than $100,000")</f>
        <v>Between $100,000-$500,000</v>
      </c>
      <c r="G7" s="2">
        <v>1.9E-2</v>
      </c>
      <c r="H7" s="2" t="str">
        <f t="shared" si="0"/>
        <v>Positive Growth</v>
      </c>
      <c r="I7" s="3">
        <v>392400</v>
      </c>
      <c r="J7" t="s">
        <v>23</v>
      </c>
      <c r="K7" t="str">
        <f t="shared" si="1"/>
        <v>Nebraska</v>
      </c>
    </row>
    <row r="8" spans="1:11" x14ac:dyDescent="0.3">
      <c r="A8">
        <v>7</v>
      </c>
      <c r="B8" t="s">
        <v>24</v>
      </c>
      <c r="C8" t="s">
        <v>25</v>
      </c>
      <c r="D8" t="str">
        <f>_xlfn.XLOOKUP(C8, IndustryTable[Raw Industry], IndustryTable[Standardized Industry], "Unmapped")</f>
        <v>Technology</v>
      </c>
      <c r="E8" s="3">
        <v>350018</v>
      </c>
      <c r="F8" s="3" t="str" cm="1">
        <f t="array" ref="F8">_xlfn.IFS(E8 &gt; 500000,"Over $500,000", E8 &gt;= 100000, "Between $100,000-$500,000", E8 &lt; 100000, "Less than $100,000")</f>
        <v>Between $100,000-$500,000</v>
      </c>
      <c r="G8" s="2">
        <v>0.13900000000000001</v>
      </c>
      <c r="H8" s="2" t="str">
        <f t="shared" si="0"/>
        <v>Positive Growth</v>
      </c>
      <c r="I8" s="3">
        <v>183323</v>
      </c>
      <c r="J8" t="s">
        <v>26</v>
      </c>
      <c r="K8" t="str">
        <f t="shared" si="1"/>
        <v>California</v>
      </c>
    </row>
    <row r="9" spans="1:11" x14ac:dyDescent="0.3">
      <c r="A9">
        <v>8</v>
      </c>
      <c r="B9" t="s">
        <v>27</v>
      </c>
      <c r="C9" t="s">
        <v>28</v>
      </c>
      <c r="D9" t="str">
        <f>_xlfn.XLOOKUP(C9, IndustryTable[Raw Industry], IndustryTable[Standardized Industry], "Unmapped")</f>
        <v>Energy / Oil and Gas</v>
      </c>
      <c r="E9" s="3">
        <v>349595</v>
      </c>
      <c r="F9" s="3" t="str" cm="1">
        <f t="array" ref="F9">_xlfn.IFS(E9 &gt; 500000,"Over $500,000", E9 &gt;= 100000, "Between $100,000-$500,000", E9 &lt; 100000, "Less than $100,000")</f>
        <v>Between $100,000-$500,000</v>
      </c>
      <c r="G9" s="2">
        <v>1.4999999999999999E-2</v>
      </c>
      <c r="H9" s="2" t="str">
        <f t="shared" si="0"/>
        <v>Positive Growth</v>
      </c>
      <c r="I9" s="3">
        <v>60900</v>
      </c>
      <c r="J9" t="s">
        <v>29</v>
      </c>
      <c r="K9" t="str">
        <f t="shared" si="1"/>
        <v>Texas</v>
      </c>
    </row>
    <row r="10" spans="1:11" x14ac:dyDescent="0.3">
      <c r="A10">
        <v>9</v>
      </c>
      <c r="B10" t="s">
        <v>30</v>
      </c>
      <c r="C10" t="s">
        <v>31</v>
      </c>
      <c r="D10" t="str">
        <f>_xlfn.XLOOKUP(C10, IndustryTable[Raw Industry], IndustryTable[Standardized Industry], "Unmapped")</f>
        <v>Healthcare</v>
      </c>
      <c r="E10" s="3">
        <v>308951</v>
      </c>
      <c r="F10" s="3" t="str" cm="1">
        <f t="array" ref="F10">_xlfn.IFS(E10 &gt; 500000,"Over $500,000", E10 &gt;= 100000, "Between $100,000-$500,000", E10 &lt; 100000, "Less than $100,000")</f>
        <v>Between $100,000-$500,000</v>
      </c>
      <c r="G10" s="2">
        <v>0.11700000000000001</v>
      </c>
      <c r="H10" s="2" t="str">
        <f t="shared" si="0"/>
        <v>Positive Growth</v>
      </c>
      <c r="I10" s="3">
        <v>48000</v>
      </c>
      <c r="J10" t="s">
        <v>32</v>
      </c>
      <c r="K10" t="str">
        <f t="shared" si="1"/>
        <v>Texas</v>
      </c>
    </row>
    <row r="11" spans="1:11" x14ac:dyDescent="0.3">
      <c r="A11">
        <v>10</v>
      </c>
      <c r="B11" t="s">
        <v>33</v>
      </c>
      <c r="C11" t="s">
        <v>34</v>
      </c>
      <c r="D11" t="str">
        <f>_xlfn.XLOOKUP(C11, IndustryTable[Raw Industry], IndustryTable[Standardized Industry], "Unmapped")</f>
        <v>Healthcare</v>
      </c>
      <c r="E11" s="3">
        <v>293959</v>
      </c>
      <c r="F11" s="3" t="str" cm="1">
        <f t="array" ref="F11">_xlfn.IFS(E11 &gt; 500000,"Over $500,000", E11 &gt;= 100000, "Between $100,000-$500,000", E11 &lt; 100000, "Less than $100,000")</f>
        <v>Between $100,000-$500,000</v>
      </c>
      <c r="G11" s="2">
        <v>0.121</v>
      </c>
      <c r="H11" s="2" t="str">
        <f t="shared" si="0"/>
        <v>Positive Growth</v>
      </c>
      <c r="I11" s="3">
        <v>44000</v>
      </c>
      <c r="J11" t="s">
        <v>35</v>
      </c>
      <c r="K11" t="str">
        <f t="shared" si="1"/>
        <v>Pennsylvania</v>
      </c>
    </row>
    <row r="12" spans="1:11" x14ac:dyDescent="0.3">
      <c r="A12">
        <v>11</v>
      </c>
      <c r="B12" t="s">
        <v>36</v>
      </c>
      <c r="C12" t="s">
        <v>37</v>
      </c>
      <c r="D12" t="str">
        <f>_xlfn.XLOOKUP(C12, IndustryTable[Raw Industry], IndustryTable[Standardized Industry], "Unmapped")</f>
        <v>Finance</v>
      </c>
      <c r="E12" s="3">
        <v>278906</v>
      </c>
      <c r="F12" s="3" t="str" cm="1">
        <f t="array" ref="F12">_xlfn.IFS(E12 &gt; 500000,"Over $500,000", E12 &gt;= 100000, "Between $100,000-$500,000", E12 &lt; 100000, "Less than $100,000")</f>
        <v>Between $100,000-$500,000</v>
      </c>
      <c r="G12" s="2">
        <v>0.16500000000000001</v>
      </c>
      <c r="H12" s="2" t="str">
        <f t="shared" si="0"/>
        <v>Positive Growth</v>
      </c>
      <c r="I12" s="3">
        <v>317233</v>
      </c>
      <c r="J12" t="s">
        <v>38</v>
      </c>
      <c r="K12" t="str">
        <f t="shared" si="1"/>
        <v>New York</v>
      </c>
    </row>
    <row r="13" spans="1:11" x14ac:dyDescent="0.3">
      <c r="A13">
        <v>12</v>
      </c>
      <c r="B13" t="s">
        <v>39</v>
      </c>
      <c r="C13" t="s">
        <v>8</v>
      </c>
      <c r="D13" t="str">
        <f>_xlfn.XLOOKUP(C13, IndustryTable[Raw Industry], IndustryTable[Standardized Industry], "Unmapped")</f>
        <v>Retail</v>
      </c>
      <c r="E13" s="3">
        <v>254453</v>
      </c>
      <c r="F13" s="3" t="str" cm="1">
        <f t="array" ref="F13">_xlfn.IFS(E13 &gt; 500000,"Over $500,000", E13 &gt;= 100000, "Between $100,000-$500,000", E13 &lt; 100000, "Less than $100,000")</f>
        <v>Between $100,000-$500,000</v>
      </c>
      <c r="G13" s="2">
        <v>0.05</v>
      </c>
      <c r="H13" s="2" t="str">
        <f t="shared" si="0"/>
        <v>Positive Growth</v>
      </c>
      <c r="I13" s="3">
        <v>333000</v>
      </c>
      <c r="J13" t="s">
        <v>40</v>
      </c>
      <c r="K13" t="str">
        <f t="shared" si="1"/>
        <v>Washington</v>
      </c>
    </row>
    <row r="14" spans="1:11" x14ac:dyDescent="0.3">
      <c r="A14">
        <v>13</v>
      </c>
      <c r="B14" t="s">
        <v>41</v>
      </c>
      <c r="C14" t="s">
        <v>42</v>
      </c>
      <c r="D14" t="str">
        <f>_xlfn.XLOOKUP(C14, IndustryTable[Raw Industry], IndustryTable[Standardized Industry], "Unmapped")</f>
        <v>Healthcare</v>
      </c>
      <c r="E14" s="3">
        <v>247121</v>
      </c>
      <c r="F14" s="3" t="str" cm="1">
        <f t="array" ref="F14">_xlfn.IFS(E14 &gt; 500000,"Over $500,000", E14 &gt;= 100000, "Between $100,000-$500,000", E14 &lt; 100000, "Less than $100,000")</f>
        <v>Between $100,000-$500,000</v>
      </c>
      <c r="G14" s="2">
        <v>0.26600000000000001</v>
      </c>
      <c r="H14" s="2" t="str">
        <f t="shared" si="0"/>
        <v>Positive Growth</v>
      </c>
      <c r="I14" s="3">
        <v>72398</v>
      </c>
      <c r="J14" t="s">
        <v>43</v>
      </c>
      <c r="K14" t="str">
        <f t="shared" si="1"/>
        <v>Connecticut</v>
      </c>
    </row>
    <row r="15" spans="1:11" x14ac:dyDescent="0.3">
      <c r="A15">
        <v>14</v>
      </c>
      <c r="B15" t="s">
        <v>44</v>
      </c>
      <c r="C15" t="s">
        <v>25</v>
      </c>
      <c r="D15" t="str">
        <f>_xlfn.XLOOKUP(C15, IndustryTable[Raw Industry], IndustryTable[Standardized Industry], "Unmapped")</f>
        <v>Technology</v>
      </c>
      <c r="E15" s="3">
        <v>245122</v>
      </c>
      <c r="F15" s="3" t="str" cm="1">
        <f t="array" ref="F15">_xlfn.IFS(E15 &gt; 500000,"Over $500,000", E15 &gt;= 100000, "Between $100,000-$500,000", E15 &lt; 100000, "Less than $100,000")</f>
        <v>Between $100,000-$500,000</v>
      </c>
      <c r="G15" s="2">
        <v>0.157</v>
      </c>
      <c r="H15" s="2" t="str">
        <f t="shared" si="0"/>
        <v>Positive Growth</v>
      </c>
      <c r="I15" s="3">
        <v>228000</v>
      </c>
      <c r="J15" t="s">
        <v>45</v>
      </c>
      <c r="K15" t="str">
        <f t="shared" si="1"/>
        <v>Washington</v>
      </c>
    </row>
    <row r="16" spans="1:11" x14ac:dyDescent="0.3">
      <c r="A16">
        <v>15</v>
      </c>
      <c r="B16" t="s">
        <v>46</v>
      </c>
      <c r="C16" t="s">
        <v>14</v>
      </c>
      <c r="D16" t="str">
        <f>_xlfn.XLOOKUP(C16, IndustryTable[Raw Industry], IndustryTable[Standardized Industry], "Unmapped")</f>
        <v>Healthcare</v>
      </c>
      <c r="E16" s="3">
        <v>226827</v>
      </c>
      <c r="F16" s="3" t="str" cm="1">
        <f t="array" ref="F16">_xlfn.IFS(E16 &gt; 500000,"Over $500,000", E16 &gt;= 100000, "Between $100,000-$500,000", E16 &lt; 100000, "Less than $100,000")</f>
        <v>Between $100,000-$500,000</v>
      </c>
      <c r="G16" s="2">
        <v>0.106</v>
      </c>
      <c r="H16" s="2" t="str">
        <f t="shared" si="0"/>
        <v>Positive Growth</v>
      </c>
      <c r="I16" s="3">
        <v>48411</v>
      </c>
      <c r="J16" t="s">
        <v>47</v>
      </c>
      <c r="K16" t="str">
        <f t="shared" si="1"/>
        <v>Ohio</v>
      </c>
    </row>
    <row r="17" spans="1:11" x14ac:dyDescent="0.3">
      <c r="A17">
        <v>16</v>
      </c>
      <c r="B17" t="s">
        <v>48</v>
      </c>
      <c r="C17" t="s">
        <v>28</v>
      </c>
      <c r="D17" t="str">
        <f>_xlfn.XLOOKUP(C17, IndustryTable[Raw Industry], IndustryTable[Standardized Industry], "Unmapped")</f>
        <v>Energy / Oil and Gas</v>
      </c>
      <c r="E17" s="3">
        <v>202792</v>
      </c>
      <c r="F17" s="3" t="str" cm="1">
        <f t="array" ref="F17">_xlfn.IFS(E17 &gt; 500000,"Over $500,000", E17 &gt;= 100000, "Between $100,000-$500,000", E17 &lt; 100000, "Less than $100,000")</f>
        <v>Between $100,000-$500,000</v>
      </c>
      <c r="G17" s="2">
        <v>8.9999999999999993E-3</v>
      </c>
      <c r="H17" s="2" t="str">
        <f t="shared" si="0"/>
        <v>Positive Growth</v>
      </c>
      <c r="I17" s="3">
        <v>45298</v>
      </c>
      <c r="J17" t="s">
        <v>49</v>
      </c>
      <c r="K17" t="str">
        <f t="shared" si="1"/>
        <v>Texas</v>
      </c>
    </row>
    <row r="18" spans="1:11" x14ac:dyDescent="0.3">
      <c r="A18">
        <v>17</v>
      </c>
      <c r="B18" t="s">
        <v>50</v>
      </c>
      <c r="C18" t="s">
        <v>51</v>
      </c>
      <c r="D18" t="str">
        <f>_xlfn.XLOOKUP(C18, IndustryTable[Raw Industry], IndustryTable[Standardized Industry], "Unmapped")</f>
        <v>Finance</v>
      </c>
      <c r="E18" s="3">
        <v>184992</v>
      </c>
      <c r="F18" s="3" t="str" cm="1">
        <f t="array" ref="F18">_xlfn.IFS(E18 &gt; 500000,"Over $500,000", E18 &gt;= 100000, "Between $100,000-$500,000", E18 &lt; 100000, "Less than $100,000")</f>
        <v>Between $100,000-$500,000</v>
      </c>
      <c r="G18" s="2">
        <v>0.11899999999999999</v>
      </c>
      <c r="H18" s="2" t="str">
        <f t="shared" si="0"/>
        <v>Positive Growth</v>
      </c>
      <c r="I18" s="3">
        <v>213193</v>
      </c>
      <c r="J18" t="s">
        <v>52</v>
      </c>
      <c r="K18" t="str">
        <f t="shared" si="1"/>
        <v>North Carolina</v>
      </c>
    </row>
    <row r="19" spans="1:11" x14ac:dyDescent="0.3">
      <c r="A19">
        <v>18</v>
      </c>
      <c r="B19" t="s">
        <v>53</v>
      </c>
      <c r="C19" t="s">
        <v>54</v>
      </c>
      <c r="D19" t="str">
        <f>_xlfn.XLOOKUP(C19, IndustryTable[Raw Industry], IndustryTable[Standardized Industry], "Unmapped")</f>
        <v>Automotive</v>
      </c>
      <c r="E19" s="3">
        <v>187442</v>
      </c>
      <c r="F19" s="3" t="str" cm="1">
        <f t="array" ref="F19">_xlfn.IFS(E19 &gt; 500000,"Over $500,000", E19 &gt;= 100000, "Between $100,000-$500,000", E19 &lt; 100000, "Less than $100,000")</f>
        <v>Between $100,000-$500,000</v>
      </c>
      <c r="G19" s="2">
        <v>9.0999999999999998E-2</v>
      </c>
      <c r="H19" s="2" t="str">
        <f t="shared" si="0"/>
        <v>Positive Growth</v>
      </c>
      <c r="I19" s="3">
        <v>162000</v>
      </c>
      <c r="J19" t="s">
        <v>55</v>
      </c>
      <c r="K19" t="str">
        <f t="shared" si="1"/>
        <v>Michigan</v>
      </c>
    </row>
    <row r="20" spans="1:11" x14ac:dyDescent="0.3">
      <c r="A20">
        <v>19</v>
      </c>
      <c r="B20" t="s">
        <v>56</v>
      </c>
      <c r="C20" t="s">
        <v>54</v>
      </c>
      <c r="D20" t="str">
        <f>_xlfn.XLOOKUP(C20, IndustryTable[Raw Industry], IndustryTable[Standardized Industry], "Unmapped")</f>
        <v>Automotive</v>
      </c>
      <c r="E20" s="3">
        <v>184992</v>
      </c>
      <c r="F20" s="3" t="str" cm="1">
        <f t="array" ref="F20">_xlfn.IFS(E20 &gt; 500000,"Over $500,000", E20 &gt;= 100000, "Between $100,000-$500,000", E20 &lt; 100000, "Less than $100,000")</f>
        <v>Between $100,000-$500,000</v>
      </c>
      <c r="G20" s="2">
        <v>0.05</v>
      </c>
      <c r="H20" s="2" t="str">
        <f t="shared" si="0"/>
        <v>Positive Growth</v>
      </c>
      <c r="I20" s="3">
        <v>171000</v>
      </c>
      <c r="J20" t="s">
        <v>57</v>
      </c>
      <c r="K20" t="str">
        <f t="shared" si="1"/>
        <v>Michigan</v>
      </c>
    </row>
    <row r="21" spans="1:11" x14ac:dyDescent="0.3">
      <c r="A21">
        <v>20</v>
      </c>
      <c r="B21" t="s">
        <v>58</v>
      </c>
      <c r="C21" t="s">
        <v>14</v>
      </c>
      <c r="D21" t="str">
        <f>_xlfn.XLOOKUP(C21, IndustryTable[Raw Industry], IndustryTable[Standardized Industry], "Unmapped")</f>
        <v>Healthcare</v>
      </c>
      <c r="E21" s="3">
        <v>177011</v>
      </c>
      <c r="F21" s="3" t="str" cm="1">
        <f t="array" ref="F21">_xlfn.IFS(E21 &gt; 500000,"Over $500,000", E21 &gt;= 100000, "Between $100,000-$500,000", E21 &lt; 100000, "Less than $100,000")</f>
        <v>Between $100,000-$500,000</v>
      </c>
      <c r="G21" s="2">
        <v>3.3000000000000002E-2</v>
      </c>
      <c r="H21" s="2" t="str">
        <f t="shared" si="0"/>
        <v>Positive Growth</v>
      </c>
      <c r="I21" s="3">
        <v>103679</v>
      </c>
      <c r="J21" t="s">
        <v>59</v>
      </c>
      <c r="K21" t="str">
        <f t="shared" si="1"/>
        <v>Indiana</v>
      </c>
    </row>
    <row r="22" spans="1:11" x14ac:dyDescent="0.3">
      <c r="A22">
        <v>21</v>
      </c>
      <c r="B22" t="s">
        <v>60</v>
      </c>
      <c r="C22" t="s">
        <v>51</v>
      </c>
      <c r="D22" t="str">
        <f>_xlfn.XLOOKUP(C22, IndustryTable[Raw Industry], IndustryTable[Standardized Industry], "Unmapped")</f>
        <v>Finance</v>
      </c>
      <c r="E22" s="3">
        <v>170757</v>
      </c>
      <c r="F22" s="3" t="str" cm="1">
        <f t="array" ref="F22">_xlfn.IFS(E22 &gt; 500000,"Over $500,000", E22 &gt;= 100000, "Between $100,000-$500,000", E22 &lt; 100000, "Less than $100,000")</f>
        <v>Between $100,000-$500,000</v>
      </c>
      <c r="G22" s="2">
        <v>8.8999999999999996E-2</v>
      </c>
      <c r="H22" s="2" t="str">
        <f t="shared" si="0"/>
        <v>Positive Growth</v>
      </c>
      <c r="I22" s="3">
        <v>227855</v>
      </c>
      <c r="J22" t="s">
        <v>38</v>
      </c>
      <c r="K22" t="str">
        <f t="shared" si="1"/>
        <v>New York</v>
      </c>
    </row>
    <row r="23" spans="1:11" x14ac:dyDescent="0.3">
      <c r="A23">
        <v>22</v>
      </c>
      <c r="B23" t="s">
        <v>61</v>
      </c>
      <c r="C23" t="s">
        <v>62</v>
      </c>
      <c r="D23" t="str">
        <f>_xlfn.XLOOKUP(C23, IndustryTable[Raw Industry], IndustryTable[Standardized Industry], "Unmapped")</f>
        <v>Technology</v>
      </c>
      <c r="E23" s="3">
        <v>164501</v>
      </c>
      <c r="F23" s="3" t="str" cm="1">
        <f t="array" ref="F23">_xlfn.IFS(E23 &gt; 500000,"Over $500,000", E23 &gt;= 100000, "Between $100,000-$500,000", E23 &lt; 100000, "Less than $100,000")</f>
        <v>Between $100,000-$500,000</v>
      </c>
      <c r="G23" s="2">
        <v>0.219</v>
      </c>
      <c r="H23" s="2" t="str">
        <f t="shared" si="0"/>
        <v>Positive Growth</v>
      </c>
      <c r="I23" s="3">
        <v>74067</v>
      </c>
      <c r="J23" t="s">
        <v>63</v>
      </c>
      <c r="K23" t="str">
        <f t="shared" si="1"/>
        <v>California</v>
      </c>
    </row>
    <row r="24" spans="1:11" x14ac:dyDescent="0.3">
      <c r="A24">
        <v>23</v>
      </c>
      <c r="B24" t="s">
        <v>64</v>
      </c>
      <c r="C24" t="s">
        <v>14</v>
      </c>
      <c r="D24" t="str">
        <f>_xlfn.XLOOKUP(C24, IndustryTable[Raw Industry], IndustryTable[Standardized Industry], "Unmapped")</f>
        <v>Healthcare</v>
      </c>
      <c r="E24" s="3">
        <v>163071</v>
      </c>
      <c r="F24" s="3" t="str" cm="1">
        <f t="array" ref="F24">_xlfn.IFS(E24 &gt; 500000,"Over $500,000", E24 &gt;= 100000, "Between $100,000-$500,000", E24 &lt; 100000, "Less than $100,000")</f>
        <v>Between $100,000-$500,000</v>
      </c>
      <c r="G24" s="2">
        <v>5.8999999999999997E-2</v>
      </c>
      <c r="H24" s="2" t="str">
        <f t="shared" si="0"/>
        <v>Positive Growth</v>
      </c>
      <c r="I24" s="3">
        <v>60500</v>
      </c>
      <c r="J24" t="s">
        <v>65</v>
      </c>
      <c r="K24" t="str">
        <f t="shared" si="1"/>
        <v>Missouri</v>
      </c>
    </row>
    <row r="25" spans="1:11" x14ac:dyDescent="0.3">
      <c r="A25">
        <v>24</v>
      </c>
      <c r="B25" t="s">
        <v>66</v>
      </c>
      <c r="C25" t="s">
        <v>8</v>
      </c>
      <c r="D25" t="str">
        <f>_xlfn.XLOOKUP(C25, IndustryTable[Raw Industry], IndustryTable[Standardized Industry], "Unmapped")</f>
        <v>Retail</v>
      </c>
      <c r="E25" s="3">
        <v>159514</v>
      </c>
      <c r="F25" s="3" t="str" cm="1">
        <f t="array" ref="F25">_xlfn.IFS(E25 &gt; 500000,"Over $500,000", E25 &gt;= 100000, "Between $100,000-$500,000", E25 &lt; 100000, "Less than $100,000")</f>
        <v>Between $100,000-$500,000</v>
      </c>
      <c r="G25" s="2">
        <v>4.4999999999999998E-2</v>
      </c>
      <c r="H25" s="2" t="str">
        <f t="shared" si="0"/>
        <v>Positive Growth</v>
      </c>
      <c r="I25" s="3">
        <v>470100</v>
      </c>
      <c r="J25" t="s">
        <v>67</v>
      </c>
      <c r="K25" t="str">
        <f t="shared" si="1"/>
        <v>Georgia</v>
      </c>
    </row>
    <row r="26" spans="1:11" x14ac:dyDescent="0.3">
      <c r="A26">
        <v>25</v>
      </c>
      <c r="B26" t="s">
        <v>68</v>
      </c>
      <c r="C26" t="s">
        <v>51</v>
      </c>
      <c r="D26" t="str">
        <f>_xlfn.XLOOKUP(C26, IndustryTable[Raw Industry], IndustryTable[Standardized Industry], "Unmapped")</f>
        <v>Finance</v>
      </c>
      <c r="E26" s="3">
        <v>152670</v>
      </c>
      <c r="F26" s="3" t="str" cm="1">
        <f t="array" ref="F26">_xlfn.IFS(E26 &gt; 500000,"Over $500,000", E26 &gt;= 100000, "Between $100,000-$500,000", E26 &lt; 100000, "Less than $100,000")</f>
        <v>Between $100,000-$500,000</v>
      </c>
      <c r="G26" s="2">
        <v>8.1000000000000003E-2</v>
      </c>
      <c r="H26" s="2" t="str">
        <f t="shared" si="0"/>
        <v>Positive Growth</v>
      </c>
      <c r="I26" s="3">
        <v>8200</v>
      </c>
      <c r="J26" t="s">
        <v>69</v>
      </c>
      <c r="K26" t="str">
        <f t="shared" si="1"/>
        <v>D.C.</v>
      </c>
    </row>
    <row r="27" spans="1:11" x14ac:dyDescent="0.3">
      <c r="A27">
        <v>26</v>
      </c>
      <c r="B27" t="s">
        <v>70</v>
      </c>
      <c r="C27" t="s">
        <v>71</v>
      </c>
      <c r="D27" t="str">
        <f>_xlfn.XLOOKUP(C27, IndustryTable[Raw Industry], IndustryTable[Standardized Industry], "Unmapped")</f>
        <v>Healthcare</v>
      </c>
      <c r="E27" s="3">
        <v>147658</v>
      </c>
      <c r="F27" s="3" t="str" cm="1">
        <f t="array" ref="F27">_xlfn.IFS(E27 &gt; 500000,"Over $500,000", E27 &gt;= 100000, "Between $100,000-$500,000", E27 &lt; 100000, "Less than $100,000")</f>
        <v>Between $100,000-$500,000</v>
      </c>
      <c r="G27" s="2">
        <v>6.2E-2</v>
      </c>
      <c r="H27" s="2" t="str">
        <f t="shared" si="0"/>
        <v>Positive Growth</v>
      </c>
      <c r="I27" s="3">
        <v>252500</v>
      </c>
      <c r="J27" t="s">
        <v>72</v>
      </c>
      <c r="K27" t="str">
        <f t="shared" si="1"/>
        <v>Illinois</v>
      </c>
    </row>
    <row r="28" spans="1:11" x14ac:dyDescent="0.3">
      <c r="A28">
        <v>27</v>
      </c>
      <c r="B28" t="s">
        <v>73</v>
      </c>
      <c r="C28" t="s">
        <v>8</v>
      </c>
      <c r="D28" t="str">
        <f>_xlfn.XLOOKUP(C28, IndustryTable[Raw Industry], IndustryTable[Standardized Industry], "Unmapped")</f>
        <v>Retail</v>
      </c>
      <c r="E28" s="3">
        <v>147123</v>
      </c>
      <c r="F28" s="3" t="str" cm="1">
        <f t="array" ref="F28">_xlfn.IFS(E28 &gt; 500000,"Over $500,000", E28 &gt;= 100000, "Between $100,000-$500,000", E28 &lt; 100000, "Less than $100,000")</f>
        <v>Between $100,000-$500,000</v>
      </c>
      <c r="G28" s="2">
        <v>-1.9E-2</v>
      </c>
      <c r="H28" s="2" t="str">
        <f t="shared" si="0"/>
        <v>Negative Growth</v>
      </c>
      <c r="I28" s="3">
        <v>409000</v>
      </c>
      <c r="J28" t="s">
        <v>74</v>
      </c>
      <c r="K28" t="str">
        <f t="shared" si="1"/>
        <v>Ohio</v>
      </c>
    </row>
    <row r="29" spans="1:11" x14ac:dyDescent="0.3">
      <c r="A29">
        <v>28</v>
      </c>
      <c r="B29" t="s">
        <v>75</v>
      </c>
      <c r="C29" t="s">
        <v>28</v>
      </c>
      <c r="D29" t="str">
        <f>_xlfn.XLOOKUP(C29, IndustryTable[Raw Industry], IndustryTable[Standardized Industry], "Unmapped")</f>
        <v>Energy / Oil and Gas</v>
      </c>
      <c r="E29" s="3">
        <v>145496</v>
      </c>
      <c r="F29" s="3" t="str" cm="1">
        <f t="array" ref="F29">_xlfn.IFS(E29 &gt; 500000,"Over $500,000", E29 &gt;= 100000, "Between $100,000-$500,000", E29 &lt; 100000, "Less than $100,000")</f>
        <v>Between $100,000-$500,000</v>
      </c>
      <c r="G29" s="2">
        <v>-2.9000000000000001E-2</v>
      </c>
      <c r="H29" s="2" t="str">
        <f t="shared" si="0"/>
        <v>Negative Growth</v>
      </c>
      <c r="I29" s="3">
        <v>13200</v>
      </c>
      <c r="J29" t="s">
        <v>49</v>
      </c>
      <c r="K29" t="str">
        <f t="shared" si="1"/>
        <v>Texas</v>
      </c>
    </row>
    <row r="30" spans="1:11" x14ac:dyDescent="0.3">
      <c r="A30">
        <v>29</v>
      </c>
      <c r="B30" t="s">
        <v>76</v>
      </c>
      <c r="C30" t="s">
        <v>28</v>
      </c>
      <c r="D30" t="str">
        <f>_xlfn.XLOOKUP(C30, IndustryTable[Raw Industry], IndustryTable[Standardized Industry], "Unmapped")</f>
        <v>Energy / Oil and Gas</v>
      </c>
      <c r="E30" s="3">
        <v>140412</v>
      </c>
      <c r="F30" s="3" t="str" cm="1">
        <f t="array" ref="F30">_xlfn.IFS(E30 &gt; 500000,"Over $500,000", E30 &gt;= 100000, "Between $100,000-$500,000", E30 &lt; 100000, "Less than $100,000")</f>
        <v>Between $100,000-$500,000</v>
      </c>
      <c r="G30" s="2">
        <v>-6.6000000000000003E-2</v>
      </c>
      <c r="H30" s="2" t="str">
        <f t="shared" si="0"/>
        <v>Negative Growth</v>
      </c>
      <c r="I30" s="3">
        <v>18300</v>
      </c>
      <c r="J30" t="s">
        <v>77</v>
      </c>
      <c r="K30" t="str">
        <f t="shared" si="1"/>
        <v>Ohio</v>
      </c>
    </row>
    <row r="31" spans="1:11" x14ac:dyDescent="0.3">
      <c r="A31">
        <v>30</v>
      </c>
      <c r="B31" t="s">
        <v>78</v>
      </c>
      <c r="C31" t="s">
        <v>79</v>
      </c>
      <c r="D31" t="str">
        <f>_xlfn.XLOOKUP(C31, IndustryTable[Raw Industry], IndustryTable[Standardized Industry], "Unmapped")</f>
        <v>Telecommunications</v>
      </c>
      <c r="E31" s="3">
        <v>134788</v>
      </c>
      <c r="F31" s="3" t="str" cm="1">
        <f t="array" ref="F31">_xlfn.IFS(E31 &gt; 500000,"Over $500,000", E31 &gt;= 100000, "Between $100,000-$500,000", E31 &lt; 100000, "Less than $100,000")</f>
        <v>Between $100,000-$500,000</v>
      </c>
      <c r="G31" s="2">
        <v>6.0000000000000001E-3</v>
      </c>
      <c r="H31" s="2" t="str">
        <f t="shared" si="0"/>
        <v>Positive Growth</v>
      </c>
      <c r="I31" s="3">
        <v>99600</v>
      </c>
      <c r="J31" t="s">
        <v>38</v>
      </c>
      <c r="K31" t="str">
        <f t="shared" si="1"/>
        <v>New York</v>
      </c>
    </row>
    <row r="32" spans="1:11" x14ac:dyDescent="0.3">
      <c r="A32">
        <v>31</v>
      </c>
      <c r="B32" t="s">
        <v>80</v>
      </c>
      <c r="C32" t="s">
        <v>62</v>
      </c>
      <c r="D32" t="str">
        <f>_xlfn.XLOOKUP(C32, IndustryTable[Raw Industry], IndustryTable[Standardized Industry], "Unmapped")</f>
        <v>Technology</v>
      </c>
      <c r="E32" s="3">
        <v>130497</v>
      </c>
      <c r="F32" s="3" t="str" cm="1">
        <f t="array" ref="F32">_xlfn.IFS(E32 &gt; 500000,"Over $500,000", E32 &gt;= 100000, "Between $100,000-$500,000", E32 &lt; 100000, "Less than $100,000")</f>
        <v>Between $100,000-$500,000</v>
      </c>
      <c r="G32" s="2">
        <v>1.1419999999999999</v>
      </c>
      <c r="H32" s="2" t="str">
        <f t="shared" si="0"/>
        <v>Positive Growth</v>
      </c>
      <c r="I32" s="3">
        <v>36000</v>
      </c>
      <c r="J32" t="s">
        <v>81</v>
      </c>
      <c r="K32" t="str">
        <f t="shared" si="1"/>
        <v>California</v>
      </c>
    </row>
    <row r="33" spans="1:11" x14ac:dyDescent="0.3">
      <c r="A33">
        <v>32</v>
      </c>
      <c r="B33" t="s">
        <v>82</v>
      </c>
      <c r="C33" t="s">
        <v>51</v>
      </c>
      <c r="D33" t="str">
        <f>_xlfn.XLOOKUP(C33, IndustryTable[Raw Industry], IndustryTable[Standardized Industry], "Unmapped")</f>
        <v>Finance</v>
      </c>
      <c r="E33" s="3">
        <v>126853</v>
      </c>
      <c r="F33" s="3" t="str" cm="1">
        <f t="array" ref="F33">_xlfn.IFS(E33 &gt; 500000,"Over $500,000", E33 &gt;= 100000, "Between $100,000-$500,000", E33 &lt; 100000, "Less than $100,000")</f>
        <v>Between $100,000-$500,000</v>
      </c>
      <c r="G33" s="2">
        <v>0.17</v>
      </c>
      <c r="H33" s="2" t="str">
        <f t="shared" si="0"/>
        <v>Positive Growth</v>
      </c>
      <c r="I33" s="3">
        <v>46500</v>
      </c>
      <c r="J33" t="s">
        <v>38</v>
      </c>
      <c r="K33" t="str">
        <f t="shared" si="1"/>
        <v>New York</v>
      </c>
    </row>
    <row r="34" spans="1:11" x14ac:dyDescent="0.3">
      <c r="A34">
        <v>33</v>
      </c>
      <c r="B34" t="s">
        <v>83</v>
      </c>
      <c r="C34" t="s">
        <v>51</v>
      </c>
      <c r="D34" t="str">
        <f>_xlfn.XLOOKUP(C34, IndustryTable[Raw Industry], IndustryTable[Standardized Industry], "Unmapped")</f>
        <v>Finance</v>
      </c>
      <c r="E34" s="3">
        <v>125397</v>
      </c>
      <c r="F34" s="3" t="str" cm="1">
        <f t="array" ref="F34">_xlfn.IFS(E34 &gt; 500000,"Over $500,000", E34 &gt;= 100000, "Between $100,000-$500,000", E34 &lt; 100000, "Less than $100,000")</f>
        <v>Between $100,000-$500,000</v>
      </c>
      <c r="G34" s="2">
        <v>8.6999999999999994E-2</v>
      </c>
      <c r="H34" s="2" t="str">
        <f t="shared" si="0"/>
        <v>Positive Growth</v>
      </c>
      <c r="I34" s="3">
        <v>217502</v>
      </c>
      <c r="J34" t="s">
        <v>84</v>
      </c>
      <c r="K34" t="str">
        <f t="shared" si="1"/>
        <v>California</v>
      </c>
    </row>
    <row r="35" spans="1:11" x14ac:dyDescent="0.3">
      <c r="A35">
        <v>34</v>
      </c>
      <c r="B35" t="s">
        <v>85</v>
      </c>
      <c r="C35" t="s">
        <v>28</v>
      </c>
      <c r="D35" t="str">
        <f>_xlfn.XLOOKUP(C35, IndustryTable[Raw Industry], IndustryTable[Standardized Industry], "Unmapped")</f>
        <v>Energy / Oil and Gas</v>
      </c>
      <c r="E35" s="3">
        <v>123974</v>
      </c>
      <c r="F35" s="3" t="str" cm="1">
        <f t="array" ref="F35">_xlfn.IFS(E35 &gt; 500000,"Over $500,000", E35 &gt;= 100000, "Between $100,000-$500,000", E35 &lt; 100000, "Less than $100,000")</f>
        <v>Between $100,000-$500,000</v>
      </c>
      <c r="G35" s="2">
        <v>-0.108</v>
      </c>
      <c r="H35" s="2" t="str">
        <f t="shared" si="0"/>
        <v>Negative Growth</v>
      </c>
      <c r="I35" s="3">
        <v>9910</v>
      </c>
      <c r="J35" t="s">
        <v>86</v>
      </c>
      <c r="K35" t="str">
        <f t="shared" si="1"/>
        <v>Texas</v>
      </c>
    </row>
    <row r="36" spans="1:11" x14ac:dyDescent="0.3">
      <c r="A36">
        <v>35</v>
      </c>
      <c r="B36" t="s">
        <v>87</v>
      </c>
      <c r="C36" t="s">
        <v>79</v>
      </c>
      <c r="D36" t="str">
        <f>_xlfn.XLOOKUP(C36, IndustryTable[Raw Industry], IndustryTable[Standardized Industry], "Unmapped")</f>
        <v>Telecommunications</v>
      </c>
      <c r="E36" s="3">
        <v>123731</v>
      </c>
      <c r="F36" s="3" t="str" cm="1">
        <f t="array" ref="F36">_xlfn.IFS(E36 &gt; 500000,"Over $500,000", E36 &gt;= 100000, "Between $100,000-$500,000", E36 &lt; 100000, "Less than $100,000")</f>
        <v>Between $100,000-$500,000</v>
      </c>
      <c r="G36" s="2">
        <v>1.7999999999999999E-2</v>
      </c>
      <c r="H36" s="2" t="str">
        <f t="shared" si="0"/>
        <v>Positive Growth</v>
      </c>
      <c r="I36" s="3">
        <v>182000</v>
      </c>
      <c r="J36" t="s">
        <v>88</v>
      </c>
      <c r="K36" t="str">
        <f t="shared" si="1"/>
        <v>Pennsylvania</v>
      </c>
    </row>
    <row r="37" spans="1:11" x14ac:dyDescent="0.3">
      <c r="A37">
        <v>36</v>
      </c>
      <c r="B37" t="s">
        <v>89</v>
      </c>
      <c r="C37" t="s">
        <v>51</v>
      </c>
      <c r="D37" t="str">
        <f>_xlfn.XLOOKUP(C37, IndustryTable[Raw Industry], IndustryTable[Standardized Industry], "Unmapped")</f>
        <v>Finance</v>
      </c>
      <c r="E37" s="3">
        <v>122951</v>
      </c>
      <c r="F37" s="3" t="str" cm="1">
        <f t="array" ref="F37">_xlfn.IFS(E37 &gt; 500000,"Over $500,000", E37 &gt;= 100000, "Between $100,000-$500,000", E37 &lt; 100000, "Less than $100,000")</f>
        <v>Between $100,000-$500,000</v>
      </c>
      <c r="G37" s="2">
        <v>0.18</v>
      </c>
      <c r="H37" s="2" t="str">
        <f t="shared" si="0"/>
        <v>Positive Growth</v>
      </c>
      <c r="I37" s="3">
        <v>67381</v>
      </c>
      <c r="J37" t="s">
        <v>90</v>
      </c>
      <c r="K37" t="str">
        <f t="shared" si="1"/>
        <v>Illinois</v>
      </c>
    </row>
    <row r="38" spans="1:11" x14ac:dyDescent="0.3">
      <c r="A38">
        <v>37</v>
      </c>
      <c r="B38" t="s">
        <v>91</v>
      </c>
      <c r="C38" t="s">
        <v>92</v>
      </c>
      <c r="D38" t="str">
        <f>_xlfn.XLOOKUP(C38, IndustryTable[Raw Industry], IndustryTable[Standardized Industry], "Unmapped")</f>
        <v>Telecommunications</v>
      </c>
      <c r="E38" s="3">
        <v>122336</v>
      </c>
      <c r="F38" s="3" t="str" cm="1">
        <f t="array" ref="F38">_xlfn.IFS(E38 &gt; 500000,"Over $500,000", E38 &gt;= 100000, "Between $100,000-$500,000", E38 &lt; 100000, "Less than $100,000")</f>
        <v>Between $100,000-$500,000</v>
      </c>
      <c r="G38" s="2">
        <v>-1E-3</v>
      </c>
      <c r="H38" s="2" t="str">
        <f t="shared" si="0"/>
        <v>Negative Growth</v>
      </c>
      <c r="I38" s="3">
        <v>140990</v>
      </c>
      <c r="J38" t="s">
        <v>93</v>
      </c>
      <c r="K38" t="str">
        <f t="shared" si="1"/>
        <v>Texas</v>
      </c>
    </row>
    <row r="39" spans="1:11" x14ac:dyDescent="0.3">
      <c r="A39">
        <v>38</v>
      </c>
      <c r="B39" t="s">
        <v>94</v>
      </c>
      <c r="C39" t="s">
        <v>51</v>
      </c>
      <c r="D39" t="str">
        <f>_xlfn.XLOOKUP(C39, IndustryTable[Raw Industry], IndustryTable[Standardized Industry], "Unmapped")</f>
        <v>Finance</v>
      </c>
      <c r="E39" s="3">
        <v>122052</v>
      </c>
      <c r="F39" s="3" t="str" cm="1">
        <f t="array" ref="F39">_xlfn.IFS(E39 &gt; 500000,"Over $500,000", E39 &gt;= 100000, "Between $100,000-$500,000", E39 &lt; 100000, "Less than $100,000")</f>
        <v>Between $100,000-$500,000</v>
      </c>
      <c r="G39" s="2">
        <v>0.13</v>
      </c>
      <c r="H39" s="2" t="str">
        <f t="shared" si="0"/>
        <v>Positive Growth</v>
      </c>
      <c r="I39" s="3">
        <v>8090</v>
      </c>
      <c r="J39" t="s">
        <v>95</v>
      </c>
      <c r="K39" t="str">
        <f t="shared" si="1"/>
        <v>Virginia</v>
      </c>
    </row>
    <row r="40" spans="1:11" x14ac:dyDescent="0.3">
      <c r="A40">
        <v>39</v>
      </c>
      <c r="B40" t="s">
        <v>96</v>
      </c>
      <c r="C40" t="s">
        <v>42</v>
      </c>
      <c r="D40" t="str">
        <f>_xlfn.XLOOKUP(C40, IndustryTable[Raw Industry], IndustryTable[Standardized Industry], "Unmapped")</f>
        <v>Healthcare</v>
      </c>
      <c r="E40" s="3">
        <v>117761</v>
      </c>
      <c r="F40" s="3" t="str" cm="1">
        <f t="array" ref="F40">_xlfn.IFS(E40 &gt; 500000,"Over $500,000", E40 &gt;= 100000, "Between $100,000-$500,000", E40 &lt; 100000, "Less than $100,000")</f>
        <v>Between $100,000-$500,000</v>
      </c>
      <c r="G40" s="2">
        <v>0.107</v>
      </c>
      <c r="H40" s="2" t="str">
        <f t="shared" si="0"/>
        <v>Positive Growth</v>
      </c>
      <c r="I40" s="3">
        <v>65680</v>
      </c>
      <c r="J40" t="s">
        <v>97</v>
      </c>
      <c r="K40" t="str">
        <f t="shared" si="1"/>
        <v>Kentucky</v>
      </c>
    </row>
    <row r="41" spans="1:11" x14ac:dyDescent="0.3">
      <c r="A41">
        <v>40</v>
      </c>
      <c r="B41" t="s">
        <v>98</v>
      </c>
      <c r="C41" t="s">
        <v>51</v>
      </c>
      <c r="D41" t="str">
        <f>_xlfn.XLOOKUP(C41, IndustryTable[Raw Industry], IndustryTable[Standardized Industry], "Unmapped")</f>
        <v>Finance</v>
      </c>
      <c r="E41" s="3">
        <v>107285</v>
      </c>
      <c r="F41" s="3" t="str" cm="1">
        <f t="array" ref="F41">_xlfn.IFS(E41 &gt; 500000,"Over $500,000", E41 &gt;= 100000, "Between $100,000-$500,000", E41 &lt; 100000, "Less than $100,000")</f>
        <v>Between $100,000-$500,000</v>
      </c>
      <c r="G41" s="2">
        <v>0.115</v>
      </c>
      <c r="H41" s="2" t="str">
        <f t="shared" si="0"/>
        <v>Positive Growth</v>
      </c>
      <c r="I41" s="3">
        <v>80478</v>
      </c>
      <c r="J41" t="s">
        <v>38</v>
      </c>
      <c r="K41" t="str">
        <f t="shared" si="1"/>
        <v>New York</v>
      </c>
    </row>
    <row r="42" spans="1:11" x14ac:dyDescent="0.3">
      <c r="A42">
        <v>41</v>
      </c>
      <c r="B42" t="s">
        <v>99</v>
      </c>
      <c r="C42" t="s">
        <v>8</v>
      </c>
      <c r="D42" t="str">
        <f>_xlfn.XLOOKUP(C42, IndustryTable[Raw Industry], IndustryTable[Standardized Industry], "Unmapped")</f>
        <v>Retail</v>
      </c>
      <c r="E42" s="3">
        <v>106566</v>
      </c>
      <c r="F42" s="3" t="str" cm="1">
        <f t="array" ref="F42">_xlfn.IFS(E42 &gt; 500000,"Over $500,000", E42 &gt;= 100000, "Between $100,000-$500,000", E42 &lt; 100000, "Less than $100,000")</f>
        <v>Between $100,000-$500,000</v>
      </c>
      <c r="G42" s="2">
        <v>-8.0000000000000002E-3</v>
      </c>
      <c r="H42" s="2" t="str">
        <f t="shared" si="0"/>
        <v>Negative Growth</v>
      </c>
      <c r="I42" s="3">
        <v>440000</v>
      </c>
      <c r="J42" t="s">
        <v>100</v>
      </c>
      <c r="K42" t="str">
        <f t="shared" si="1"/>
        <v>Minnesota</v>
      </c>
    </row>
    <row r="43" spans="1:11" x14ac:dyDescent="0.3">
      <c r="A43">
        <v>42</v>
      </c>
      <c r="B43" t="s">
        <v>101</v>
      </c>
      <c r="C43" t="s">
        <v>51</v>
      </c>
      <c r="D43" t="str">
        <f>_xlfn.XLOOKUP(C43, IndustryTable[Raw Industry], IndustryTable[Standardized Industry], "Unmapped")</f>
        <v>Finance</v>
      </c>
      <c r="E43" s="3">
        <v>99888</v>
      </c>
      <c r="F43" s="3" t="str" cm="1">
        <f t="array" ref="F43">_xlfn.IFS(E43 &gt; 500000,"Over $500,000", E43 &gt;= 100000, "Between $100,000-$500,000", E43 &lt; 100000, "Less than $100,000")</f>
        <v>Less than $100,000</v>
      </c>
      <c r="G43" s="2">
        <v>0.64100000000000001</v>
      </c>
      <c r="H43" s="2" t="str">
        <f t="shared" si="0"/>
        <v>Positive Growth</v>
      </c>
      <c r="I43" s="3">
        <v>4500</v>
      </c>
      <c r="J43" t="s">
        <v>38</v>
      </c>
      <c r="K43" t="str">
        <f t="shared" si="1"/>
        <v>New York</v>
      </c>
    </row>
    <row r="44" spans="1:11" x14ac:dyDescent="0.3">
      <c r="A44">
        <v>43</v>
      </c>
      <c r="B44" t="s">
        <v>102</v>
      </c>
      <c r="C44" t="s">
        <v>103</v>
      </c>
      <c r="D44" t="str">
        <f>_xlfn.XLOOKUP(C44, IndustryTable[Raw Industry], IndustryTable[Standardized Industry], "Unmapped")</f>
        <v>Automotive</v>
      </c>
      <c r="E44" s="3">
        <v>97690</v>
      </c>
      <c r="F44" s="3" t="str" cm="1">
        <f t="array" ref="F44">_xlfn.IFS(E44 &gt; 500000,"Over $500,000", E44 &gt;= 100000, "Between $100,000-$500,000", E44 &lt; 100000, "Less than $100,000")</f>
        <v>Less than $100,000</v>
      </c>
      <c r="G44" s="2">
        <v>8.9999999999999993E-3</v>
      </c>
      <c r="H44" s="2" t="str">
        <f t="shared" si="0"/>
        <v>Positive Growth</v>
      </c>
      <c r="I44" s="3">
        <v>125665</v>
      </c>
      <c r="J44" t="s">
        <v>104</v>
      </c>
      <c r="K44" t="str">
        <f t="shared" si="1"/>
        <v>Texas</v>
      </c>
    </row>
    <row r="45" spans="1:11" x14ac:dyDescent="0.3">
      <c r="A45">
        <v>44</v>
      </c>
      <c r="B45" t="s">
        <v>105</v>
      </c>
      <c r="C45" t="s">
        <v>62</v>
      </c>
      <c r="D45" t="str">
        <f>_xlfn.XLOOKUP(C45, IndustryTable[Raw Industry], IndustryTable[Standardized Industry], "Unmapped")</f>
        <v>Technology</v>
      </c>
      <c r="E45" s="3">
        <v>95567</v>
      </c>
      <c r="F45" s="3" t="str" cm="1">
        <f t="array" ref="F45">_xlfn.IFS(E45 &gt; 500000,"Over $500,000", E45 &gt;= 100000, "Between $100,000-$500,000", E45 &lt; 100000, "Less than $100,000")</f>
        <v>Less than $100,000</v>
      </c>
      <c r="G45" s="2">
        <v>8.1000000000000003E-2</v>
      </c>
      <c r="H45" s="2" t="str">
        <f t="shared" si="0"/>
        <v>Positive Growth</v>
      </c>
      <c r="I45" s="3">
        <v>108000</v>
      </c>
      <c r="J45" t="s">
        <v>106</v>
      </c>
      <c r="K45" t="str">
        <f t="shared" si="1"/>
        <v>Texas</v>
      </c>
    </row>
    <row r="46" spans="1:11" x14ac:dyDescent="0.3">
      <c r="A46">
        <v>45</v>
      </c>
      <c r="B46" t="s">
        <v>107</v>
      </c>
      <c r="C46" t="s">
        <v>108</v>
      </c>
      <c r="D46" t="str">
        <f>_xlfn.XLOOKUP(C46, IndustryTable[Raw Industry], IndustryTable[Standardized Industry], "Unmapped")</f>
        <v>Food and Beverage</v>
      </c>
      <c r="E46" s="3">
        <v>91854</v>
      </c>
      <c r="F46" s="3" t="str" cm="1">
        <f t="array" ref="F46">_xlfn.IFS(E46 &gt; 500000,"Over $500,000", E46 &gt;= 100000, "Between $100,000-$500,000", E46 &lt; 100000, "Less than $100,000")</f>
        <v>Less than $100,000</v>
      </c>
      <c r="G46" s="2">
        <v>4.0000000000000001E-3</v>
      </c>
      <c r="H46" s="2" t="str">
        <f t="shared" si="0"/>
        <v>Positive Growth</v>
      </c>
      <c r="I46" s="3">
        <v>319000</v>
      </c>
      <c r="J46" t="s">
        <v>109</v>
      </c>
      <c r="K46" t="str">
        <f t="shared" si="1"/>
        <v>New York</v>
      </c>
    </row>
    <row r="47" spans="1:11" x14ac:dyDescent="0.3">
      <c r="A47">
        <v>46</v>
      </c>
      <c r="B47" t="s">
        <v>110</v>
      </c>
      <c r="C47" t="s">
        <v>111</v>
      </c>
      <c r="D47" t="str">
        <f>_xlfn.XLOOKUP(C47, IndustryTable[Raw Industry], IndustryTable[Standardized Industry], "Unmapped")</f>
        <v>Media</v>
      </c>
      <c r="E47" s="3">
        <v>91361</v>
      </c>
      <c r="F47" s="3" t="str" cm="1">
        <f t="array" ref="F47">_xlfn.IFS(E47 &gt; 500000,"Over $500,000", E47 &gt;= 100000, "Between $100,000-$500,000", E47 &lt; 100000, "Less than $100,000")</f>
        <v>Less than $100,000</v>
      </c>
      <c r="G47" s="2">
        <v>2.8000000000000001E-2</v>
      </c>
      <c r="H47" s="2" t="str">
        <f t="shared" si="0"/>
        <v>Positive Growth</v>
      </c>
      <c r="I47" s="3">
        <v>205040</v>
      </c>
      <c r="J47" t="s">
        <v>112</v>
      </c>
      <c r="K47" t="str">
        <f t="shared" si="1"/>
        <v>California</v>
      </c>
    </row>
    <row r="48" spans="1:11" x14ac:dyDescent="0.3">
      <c r="A48">
        <v>47</v>
      </c>
      <c r="B48" t="s">
        <v>113</v>
      </c>
      <c r="C48" t="s">
        <v>114</v>
      </c>
      <c r="D48" t="str">
        <f>_xlfn.XLOOKUP(C48, IndustryTable[Raw Industry], IndustryTable[Standardized Industry], "Unmapped")</f>
        <v>Transportation</v>
      </c>
      <c r="E48" s="3">
        <v>91070</v>
      </c>
      <c r="F48" s="3" t="str" cm="1">
        <f t="array" ref="F48">_xlfn.IFS(E48 &gt; 500000,"Over $500,000", E48 &gt;= 100000, "Between $100,000-$500,000", E48 &lt; 100000, "Less than $100,000")</f>
        <v>Less than $100,000</v>
      </c>
      <c r="G48" s="2">
        <v>1E-3</v>
      </c>
      <c r="H48" s="2" t="str">
        <f t="shared" si="0"/>
        <v>Positive Growth</v>
      </c>
      <c r="I48" s="3">
        <v>372180</v>
      </c>
      <c r="J48" t="s">
        <v>67</v>
      </c>
      <c r="K48" t="str">
        <f t="shared" si="1"/>
        <v>Georgia</v>
      </c>
    </row>
    <row r="49" spans="1:11" x14ac:dyDescent="0.3">
      <c r="A49">
        <v>48</v>
      </c>
      <c r="B49" t="s">
        <v>115</v>
      </c>
      <c r="C49" t="s">
        <v>71</v>
      </c>
      <c r="D49" t="str">
        <f>_xlfn.XLOOKUP(C49, IndustryTable[Raw Industry], IndustryTable[Standardized Industry], "Unmapped")</f>
        <v>Healthcare</v>
      </c>
      <c r="E49" s="3">
        <v>88821</v>
      </c>
      <c r="F49" s="3" t="str" cm="1">
        <f t="array" ref="F49">_xlfn.IFS(E49 &gt; 500000,"Over $500,000", E49 &gt;= 100000, "Between $100,000-$500,000", E49 &lt; 100000, "Less than $100,000")</f>
        <v>Less than $100,000</v>
      </c>
      <c r="G49" s="2">
        <v>-6.7000000000000004E-2</v>
      </c>
      <c r="H49" s="2" t="str">
        <f t="shared" si="0"/>
        <v>Negative Growth</v>
      </c>
      <c r="I49" s="3">
        <v>138100</v>
      </c>
      <c r="J49" t="s">
        <v>116</v>
      </c>
      <c r="K49" t="str">
        <f t="shared" si="1"/>
        <v>New Jersey</v>
      </c>
    </row>
    <row r="50" spans="1:11" x14ac:dyDescent="0.3">
      <c r="A50">
        <v>49</v>
      </c>
      <c r="B50" t="s">
        <v>117</v>
      </c>
      <c r="C50" t="s">
        <v>114</v>
      </c>
      <c r="D50" t="str">
        <f>_xlfn.XLOOKUP(C50, IndustryTable[Raw Industry], IndustryTable[Standardized Industry], "Unmapped")</f>
        <v>Transportation</v>
      </c>
      <c r="E50" s="3">
        <v>87693</v>
      </c>
      <c r="F50" s="3" t="str" cm="1">
        <f t="array" ref="F50">_xlfn.IFS(E50 &gt; 500000,"Over $500,000", E50 &gt;= 100000, "Between $100,000-$500,000", E50 &lt; 100000, "Less than $100,000")</f>
        <v>Less than $100,000</v>
      </c>
      <c r="G50" s="2">
        <v>-2.7E-2</v>
      </c>
      <c r="H50" s="2" t="str">
        <f t="shared" si="0"/>
        <v>Negative Growth</v>
      </c>
      <c r="I50" s="3">
        <v>422100</v>
      </c>
      <c r="J50" t="s">
        <v>118</v>
      </c>
      <c r="K50" t="str">
        <f t="shared" si="1"/>
        <v>Tennessee</v>
      </c>
    </row>
    <row r="51" spans="1:11" x14ac:dyDescent="0.3">
      <c r="A51">
        <v>50</v>
      </c>
      <c r="B51" t="s">
        <v>119</v>
      </c>
      <c r="C51" t="s">
        <v>120</v>
      </c>
      <c r="D51" t="str">
        <f>_xlfn.XLOOKUP(C51, IndustryTable[Raw Industry], IndustryTable[Standardized Industry], "Unmapped")</f>
        <v>Food and Agriculture</v>
      </c>
      <c r="E51" s="3">
        <v>85530</v>
      </c>
      <c r="F51" s="3" t="str" cm="1">
        <f t="array" ref="F51">_xlfn.IFS(E51 &gt; 500000,"Over $500,000", E51 &gt;= 100000, "Between $100,000-$500,000", E51 &lt; 100000, "Less than $100,000")</f>
        <v>Less than $100,000</v>
      </c>
      <c r="G51" s="2">
        <v>-8.8999999999999996E-2</v>
      </c>
      <c r="H51" s="2" t="str">
        <f t="shared" si="0"/>
        <v>Negative Growth</v>
      </c>
      <c r="I51" s="3">
        <v>43213</v>
      </c>
      <c r="J51" t="s">
        <v>121</v>
      </c>
      <c r="K51" t="str">
        <f t="shared" si="1"/>
        <v>Illinois</v>
      </c>
    </row>
    <row r="52" spans="1:11" x14ac:dyDescent="0.3">
      <c r="A52">
        <v>51</v>
      </c>
      <c r="B52" t="s">
        <v>122</v>
      </c>
      <c r="C52" t="s">
        <v>123</v>
      </c>
      <c r="D52" t="str">
        <f>_xlfn.XLOOKUP(C52, IndustryTable[Raw Industry], IndustryTable[Standardized Industry], "Unmapped")</f>
        <v>Consumer products manufacturing</v>
      </c>
      <c r="E52" s="3">
        <v>84039</v>
      </c>
      <c r="F52" s="3" t="str" cm="1">
        <f t="array" ref="F52">_xlfn.IFS(E52 &gt; 500000,"Over $500,000", E52 &gt;= 100000, "Between $100,000-$500,000", E52 &lt; 100000, "Less than $100,000")</f>
        <v>Less than $100,000</v>
      </c>
      <c r="G52" s="2">
        <v>2.5000000000000001E-2</v>
      </c>
      <c r="H52" s="2" t="str">
        <f t="shared" si="0"/>
        <v>Positive Growth</v>
      </c>
      <c r="I52" s="3">
        <v>108000</v>
      </c>
      <c r="J52" t="s">
        <v>74</v>
      </c>
      <c r="K52" t="str">
        <f t="shared" si="1"/>
        <v>Ohio</v>
      </c>
    </row>
    <row r="53" spans="1:11" x14ac:dyDescent="0.3">
      <c r="A53">
        <v>52</v>
      </c>
      <c r="B53" t="s">
        <v>124</v>
      </c>
      <c r="C53" t="s">
        <v>8</v>
      </c>
      <c r="D53" t="str">
        <f>_xlfn.XLOOKUP(C53, IndustryTable[Raw Industry], IndustryTable[Standardized Industry], "Unmapped")</f>
        <v>Retail</v>
      </c>
      <c r="E53" s="3">
        <v>83674</v>
      </c>
      <c r="F53" s="3" t="str" cm="1">
        <f t="array" ref="F53">_xlfn.IFS(E53 &gt; 500000,"Over $500,000", E53 &gt;= 100000, "Between $100,000-$500,000", E53 &lt; 100000, "Less than $100,000")</f>
        <v>Less than $100,000</v>
      </c>
      <c r="G53" s="2">
        <v>-3.1E-2</v>
      </c>
      <c r="H53" s="2" t="str">
        <f t="shared" si="0"/>
        <v>Negative Growth</v>
      </c>
      <c r="I53" s="3">
        <v>215500</v>
      </c>
      <c r="J53" t="s">
        <v>125</v>
      </c>
      <c r="K53" t="str">
        <f t="shared" si="1"/>
        <v>North Carolina</v>
      </c>
    </row>
    <row r="54" spans="1:11" x14ac:dyDescent="0.3">
      <c r="A54">
        <v>53</v>
      </c>
      <c r="B54" t="s">
        <v>126</v>
      </c>
      <c r="C54" t="s">
        <v>28</v>
      </c>
      <c r="D54" t="str">
        <f>_xlfn.XLOOKUP(C54, IndustryTable[Raw Industry], IndustryTable[Standardized Industry], "Unmapped")</f>
        <v>Energy / Oil and Gas</v>
      </c>
      <c r="E54" s="3">
        <v>82671</v>
      </c>
      <c r="F54" s="3" t="str" cm="1">
        <f t="array" ref="F54">_xlfn.IFS(E54 &gt; 500000,"Over $500,000", E54 &gt;= 100000, "Between $100,000-$500,000", E54 &lt; 100000, "Less than $100,000")</f>
        <v>Less than $100,000</v>
      </c>
      <c r="G54" s="2">
        <v>5.1999999999999998E-2</v>
      </c>
      <c r="H54" s="2" t="str">
        <f t="shared" si="0"/>
        <v>Positive Growth</v>
      </c>
      <c r="I54" s="3">
        <v>16248</v>
      </c>
      <c r="J54" t="s">
        <v>93</v>
      </c>
      <c r="K54" t="str">
        <f t="shared" si="1"/>
        <v>Texas</v>
      </c>
    </row>
    <row r="55" spans="1:11" x14ac:dyDescent="0.3">
      <c r="A55">
        <v>54</v>
      </c>
      <c r="B55" t="s">
        <v>127</v>
      </c>
      <c r="C55" t="s">
        <v>22</v>
      </c>
      <c r="D55" t="str">
        <f>_xlfn.XLOOKUP(C55, IndustryTable[Raw Industry], IndustryTable[Standardized Industry], "Unmapped")</f>
        <v>Colglomerate</v>
      </c>
      <c r="E55" s="3">
        <v>80739</v>
      </c>
      <c r="F55" s="3" t="str" cm="1">
        <f t="array" ref="F55">_xlfn.IFS(E55 &gt; 500000,"Over $500,000", E55 &gt;= 100000, "Between $100,000-$500,000", E55 &lt; 100000, "Less than $100,000")</f>
        <v>Less than $100,000</v>
      </c>
      <c r="G55" s="2">
        <v>0.17100000000000001</v>
      </c>
      <c r="H55" s="2" t="str">
        <f t="shared" si="0"/>
        <v>Positive Growth</v>
      </c>
      <c r="I55" s="3">
        <v>186000</v>
      </c>
      <c r="J55" t="s">
        <v>128</v>
      </c>
      <c r="K55" t="str">
        <f t="shared" si="1"/>
        <v>Virginia</v>
      </c>
    </row>
    <row r="56" spans="1:11" x14ac:dyDescent="0.3">
      <c r="A56">
        <v>55</v>
      </c>
      <c r="B56" t="s">
        <v>129</v>
      </c>
      <c r="C56" t="s">
        <v>8</v>
      </c>
      <c r="D56" t="str">
        <f>_xlfn.XLOOKUP(C56, IndustryTable[Raw Industry], IndustryTable[Standardized Industry], "Unmapped")</f>
        <v>Retail</v>
      </c>
      <c r="E56" s="3">
        <v>79238</v>
      </c>
      <c r="F56" s="3" t="str" cm="1">
        <f t="array" ref="F56">_xlfn.IFS(E56 &gt; 500000,"Over $500,000", E56 &gt;= 100000, "Between $100,000-$500,000", E56 &lt; 100000, "Less than $100,000")</f>
        <v>Less than $100,000</v>
      </c>
      <c r="G56" s="2">
        <v>0.02</v>
      </c>
      <c r="H56" s="2" t="str">
        <f t="shared" si="0"/>
        <v>Positive Growth</v>
      </c>
      <c r="I56" s="3">
        <v>196650</v>
      </c>
      <c r="J56" t="s">
        <v>130</v>
      </c>
      <c r="K56" t="str">
        <f t="shared" si="1"/>
        <v>Idaho</v>
      </c>
    </row>
    <row r="57" spans="1:11" x14ac:dyDescent="0.3">
      <c r="A57">
        <v>56</v>
      </c>
      <c r="B57" t="s">
        <v>131</v>
      </c>
      <c r="C57" t="s">
        <v>132</v>
      </c>
      <c r="D57" t="str">
        <f>_xlfn.XLOOKUP(C57, IndustryTable[Raw Industry], IndustryTable[Standardized Industry], "Unmapped")</f>
        <v>Food Service</v>
      </c>
      <c r="E57" s="3">
        <v>78844</v>
      </c>
      <c r="F57" s="3" t="str" cm="1">
        <f t="array" ref="F57">_xlfn.IFS(E57 &gt; 500000,"Over $500,000", E57 &gt;= 100000, "Between $100,000-$500,000", E57 &lt; 100000, "Less than $100,000")</f>
        <v>Less than $100,000</v>
      </c>
      <c r="G57" s="2">
        <v>3.3000000000000002E-2</v>
      </c>
      <c r="H57" s="2" t="str">
        <f t="shared" si="0"/>
        <v>Positive Growth</v>
      </c>
      <c r="I57" s="3">
        <v>76000</v>
      </c>
      <c r="J57" t="s">
        <v>49</v>
      </c>
      <c r="K57" t="str">
        <f t="shared" si="1"/>
        <v>Texas</v>
      </c>
    </row>
    <row r="58" spans="1:11" x14ac:dyDescent="0.3">
      <c r="A58">
        <v>57</v>
      </c>
      <c r="B58" t="s">
        <v>133</v>
      </c>
      <c r="C58" t="s">
        <v>134</v>
      </c>
      <c r="D58" t="str">
        <f>_xlfn.XLOOKUP(C58, IndustryTable[Raw Industry], IndustryTable[Standardized Industry], "Unmapped")</f>
        <v>Insurance</v>
      </c>
      <c r="E58" s="3">
        <v>75372</v>
      </c>
      <c r="F58" s="3" t="str" cm="1">
        <f t="array" ref="F58">_xlfn.IFS(E58 &gt; 500000,"Over $500,000", E58 &gt;= 100000, "Between $100,000-$500,000", E58 &lt; 100000, "Less than $100,000")</f>
        <v>Less than $100,000</v>
      </c>
      <c r="G58" s="2">
        <v>0.214</v>
      </c>
      <c r="H58" s="2" t="str">
        <f t="shared" si="0"/>
        <v>Positive Growth</v>
      </c>
      <c r="I58" s="3">
        <v>66308</v>
      </c>
      <c r="J58" t="s">
        <v>135</v>
      </c>
      <c r="K58" t="str">
        <f t="shared" si="1"/>
        <v>Ohio</v>
      </c>
    </row>
    <row r="59" spans="1:11" x14ac:dyDescent="0.3">
      <c r="A59">
        <v>58</v>
      </c>
      <c r="B59" t="s">
        <v>136</v>
      </c>
      <c r="C59" t="s">
        <v>137</v>
      </c>
      <c r="D59" t="str">
        <f>_xlfn.XLOOKUP(C59, IndustryTable[Raw Industry], IndustryTable[Standardized Industry], "Unmapped")</f>
        <v>Finance</v>
      </c>
      <c r="E59" s="3">
        <v>74201</v>
      </c>
      <c r="F59" s="3" t="str" cm="1">
        <f t="array" ref="F59">_xlfn.IFS(E59 &gt; 500000,"Over $500,000", E59 &gt;= 100000, "Between $100,000-$500,000", E59 &lt; 100000, "Less than $100,000")</f>
        <v>Less than $100,000</v>
      </c>
      <c r="G59" s="2">
        <v>0.10100000000000001</v>
      </c>
      <c r="H59" s="2" t="str">
        <f t="shared" si="0"/>
        <v>Positive Growth</v>
      </c>
      <c r="I59" s="3">
        <v>75100</v>
      </c>
      <c r="J59" t="s">
        <v>38</v>
      </c>
      <c r="K59" t="str">
        <f t="shared" si="1"/>
        <v>New York</v>
      </c>
    </row>
    <row r="60" spans="1:11" x14ac:dyDescent="0.3">
      <c r="A60">
        <v>59</v>
      </c>
      <c r="B60" t="s">
        <v>138</v>
      </c>
      <c r="C60" t="s">
        <v>139</v>
      </c>
      <c r="D60" t="str">
        <f>_xlfn.XLOOKUP(C60, IndustryTable[Raw Industry], IndustryTable[Standardized Industry], "Unmapped")</f>
        <v>Aerospace and defense</v>
      </c>
      <c r="E60" s="3">
        <v>71043</v>
      </c>
      <c r="F60" s="3" t="str" cm="1">
        <f t="array" ref="F60">_xlfn.IFS(E60 &gt; 500000,"Over $500,000", E60 &gt;= 100000, "Between $100,000-$500,000", E60 &lt; 100000, "Less than $100,000")</f>
        <v>Less than $100,000</v>
      </c>
      <c r="G60" s="2">
        <v>5.0999999999999997E-2</v>
      </c>
      <c r="H60" s="2" t="str">
        <f t="shared" si="0"/>
        <v>Positive Growth</v>
      </c>
      <c r="I60" s="3">
        <v>121000</v>
      </c>
      <c r="J60" t="s">
        <v>140</v>
      </c>
      <c r="K60" t="str">
        <f t="shared" si="1"/>
        <v>Maryland</v>
      </c>
    </row>
    <row r="61" spans="1:11" x14ac:dyDescent="0.3">
      <c r="A61">
        <v>60</v>
      </c>
      <c r="B61" t="s">
        <v>141</v>
      </c>
      <c r="C61" t="s">
        <v>51</v>
      </c>
      <c r="D61" t="str">
        <f>_xlfn.XLOOKUP(C61, IndustryTable[Raw Industry], IndustryTable[Standardized Industry], "Unmapped")</f>
        <v>Finance</v>
      </c>
      <c r="E61" s="3">
        <v>70986</v>
      </c>
      <c r="F61" s="3" t="str" cm="1">
        <f t="array" ref="F61">_xlfn.IFS(E61 &gt; 500000,"Over $500,000", E61 &gt;= 100000, "Between $100,000-$500,000", E61 &lt; 100000, "Less than $100,000")</f>
        <v>Less than $100,000</v>
      </c>
      <c r="G61" s="2">
        <v>6.0999999999999999E-2</v>
      </c>
      <c r="H61" s="2" t="str">
        <f t="shared" si="0"/>
        <v>Positive Growth</v>
      </c>
      <c r="I61" s="3">
        <v>45000</v>
      </c>
      <c r="J61" t="s">
        <v>38</v>
      </c>
      <c r="K61" t="str">
        <f t="shared" si="1"/>
        <v>New York</v>
      </c>
    </row>
    <row r="62" spans="1:11" x14ac:dyDescent="0.3">
      <c r="A62">
        <v>61</v>
      </c>
      <c r="B62" t="s">
        <v>142</v>
      </c>
      <c r="C62" t="s">
        <v>14</v>
      </c>
      <c r="D62" t="str">
        <f>_xlfn.XLOOKUP(C62, IndustryTable[Raw Industry], IndustryTable[Standardized Industry], "Unmapped")</f>
        <v>Healthcare</v>
      </c>
      <c r="E62" s="3">
        <v>70603</v>
      </c>
      <c r="F62" s="3" t="str" cm="1">
        <f t="array" ref="F62">_xlfn.IFS(E62 &gt; 500000,"Over $500,000", E62 &gt;= 100000, "Between $100,000-$500,000", E62 &lt; 100000, "Less than $100,000")</f>
        <v>Less than $100,000</v>
      </c>
      <c r="G62" s="2">
        <v>8.6999999999999994E-2</v>
      </c>
      <c r="H62" s="2" t="str">
        <f t="shared" si="0"/>
        <v>Positive Growth</v>
      </c>
      <c r="I62" s="3">
        <v>271000</v>
      </c>
      <c r="J62" t="s">
        <v>143</v>
      </c>
      <c r="K62" t="str">
        <f t="shared" si="1"/>
        <v>Tennessee</v>
      </c>
    </row>
    <row r="63" spans="1:11" x14ac:dyDescent="0.3">
      <c r="A63">
        <v>62</v>
      </c>
      <c r="B63" t="s">
        <v>144</v>
      </c>
      <c r="C63" t="s">
        <v>51</v>
      </c>
      <c r="D63" t="str">
        <f>_xlfn.XLOOKUP(C63, IndustryTable[Raw Industry], IndustryTable[Standardized Industry], "Unmapped")</f>
        <v>Finance</v>
      </c>
      <c r="E63" s="3">
        <v>70405</v>
      </c>
      <c r="F63" s="3" t="str" cm="1">
        <f t="array" ref="F63">_xlfn.IFS(E63 &gt; 500000,"Over $500,000", E63 &gt;= 100000, "Between $100,000-$500,000", E63 &lt; 100000, "Less than $100,000")</f>
        <v>Less than $100,000</v>
      </c>
      <c r="G63" s="2">
        <v>0.30399999999999999</v>
      </c>
      <c r="H63" s="2" t="str">
        <f t="shared" si="0"/>
        <v>Positive Growth</v>
      </c>
      <c r="I63" s="3">
        <v>37936</v>
      </c>
      <c r="J63" t="s">
        <v>145</v>
      </c>
      <c r="K63" t="str">
        <f t="shared" si="1"/>
        <v>New Jersey</v>
      </c>
    </row>
    <row r="64" spans="1:11" x14ac:dyDescent="0.3">
      <c r="A64">
        <v>63</v>
      </c>
      <c r="B64" t="s">
        <v>146</v>
      </c>
      <c r="C64" t="s">
        <v>139</v>
      </c>
      <c r="D64" t="str">
        <f>_xlfn.XLOOKUP(C64, IndustryTable[Raw Industry], IndustryTable[Standardized Industry], "Unmapped")</f>
        <v>Aerospace and defense</v>
      </c>
      <c r="E64" s="3">
        <v>66517</v>
      </c>
      <c r="F64" s="3" t="str" cm="1">
        <f t="array" ref="F64">_xlfn.IFS(E64 &gt; 500000,"Over $500,000", E64 &gt;= 100000, "Between $100,000-$500,000", E64 &lt; 100000, "Less than $100,000")</f>
        <v>Less than $100,000</v>
      </c>
      <c r="G64" s="2">
        <v>-0.14499999999999999</v>
      </c>
      <c r="H64" s="2" t="str">
        <f t="shared" si="0"/>
        <v>Negative Growth</v>
      </c>
      <c r="I64" s="3">
        <v>172000</v>
      </c>
      <c r="J64" t="s">
        <v>128</v>
      </c>
      <c r="K64" t="str">
        <f t="shared" si="1"/>
        <v>Virginia</v>
      </c>
    </row>
    <row r="65" spans="1:11" x14ac:dyDescent="0.3">
      <c r="A65">
        <v>64</v>
      </c>
      <c r="B65" t="s">
        <v>147</v>
      </c>
      <c r="C65" t="s">
        <v>148</v>
      </c>
      <c r="D65" t="str">
        <f>_xlfn.XLOOKUP(C65, IndustryTable[Raw Industry], IndustryTable[Standardized Industry], "Unmapped")</f>
        <v>Machinery</v>
      </c>
      <c r="E65" s="3">
        <v>64809</v>
      </c>
      <c r="F65" s="3" t="str" cm="1">
        <f t="array" ref="F65">_xlfn.IFS(E65 &gt; 500000,"Over $500,000", E65 &gt;= 100000, "Between $100,000-$500,000", E65 &lt; 100000, "Less than $100,000")</f>
        <v>Less than $100,000</v>
      </c>
      <c r="G65" s="2">
        <v>-3.4000000000000002E-2</v>
      </c>
      <c r="H65" s="2" t="str">
        <f t="shared" si="0"/>
        <v>Negative Growth</v>
      </c>
      <c r="I65" s="3">
        <v>112900</v>
      </c>
      <c r="J65" t="s">
        <v>32</v>
      </c>
      <c r="K65" t="str">
        <f t="shared" si="1"/>
        <v>Texas</v>
      </c>
    </row>
    <row r="66" spans="1:11" x14ac:dyDescent="0.3">
      <c r="A66">
        <v>65</v>
      </c>
      <c r="B66" t="s">
        <v>149</v>
      </c>
      <c r="C66" t="s">
        <v>71</v>
      </c>
      <c r="D66" t="str">
        <f>_xlfn.XLOOKUP(C66, IndustryTable[Raw Industry], IndustryTable[Standardized Industry], "Unmapped")</f>
        <v>Healthcare</v>
      </c>
      <c r="E66" s="3">
        <v>64168</v>
      </c>
      <c r="F66" s="3" t="str" cm="1">
        <f t="array" ref="F66">_xlfn.IFS(E66 &gt; 500000,"Over $500,000", E66 &gt;= 100000, "Between $100,000-$500,000", E66 &lt; 100000, "Less than $100,000")</f>
        <v>Less than $100,000</v>
      </c>
      <c r="G66" s="2">
        <v>6.7000000000000004E-2</v>
      </c>
      <c r="H66" s="2" t="str">
        <f t="shared" si="0"/>
        <v>Positive Growth</v>
      </c>
      <c r="I66" s="3">
        <v>74000</v>
      </c>
      <c r="J66" t="s">
        <v>150</v>
      </c>
      <c r="K66" t="str">
        <f t="shared" si="1"/>
        <v>New Jersey</v>
      </c>
    </row>
    <row r="67" spans="1:11" x14ac:dyDescent="0.3">
      <c r="A67">
        <v>66</v>
      </c>
      <c r="B67" t="s">
        <v>151</v>
      </c>
      <c r="C67" t="s">
        <v>134</v>
      </c>
      <c r="D67" t="str">
        <f>_xlfn.XLOOKUP(C67, IndustryTable[Raw Industry], IndustryTable[Standardized Industry], "Unmapped")</f>
        <v>Insurance</v>
      </c>
      <c r="E67" s="3">
        <v>64106</v>
      </c>
      <c r="F67" s="3" t="str" cm="1">
        <f t="array" ref="F67">_xlfn.IFS(E67 &gt; 500000,"Over $500,000", E67 &gt;= 100000, "Between $100,000-$500,000", E67 &lt; 100000, "Less than $100,000")</f>
        <v>Less than $100,000</v>
      </c>
      <c r="G67" s="2">
        <v>0.123</v>
      </c>
      <c r="H67" s="2" t="str">
        <f t="shared" ref="H67:H101" si="2">IF(G67 &gt; 0, "Positive Growth", "Negative Growth")</f>
        <v>Positive Growth</v>
      </c>
      <c r="I67" s="3">
        <v>55200</v>
      </c>
      <c r="J67" t="s">
        <v>152</v>
      </c>
      <c r="K67" t="str">
        <f t="shared" ref="K67:K101" si="3">TRIM(RIGHT(J67, LEN(J67) - FIND(",", J67)))</f>
        <v>Cook County, Illinois</v>
      </c>
    </row>
    <row r="68" spans="1:11" x14ac:dyDescent="0.3">
      <c r="A68">
        <v>67</v>
      </c>
      <c r="B68" t="s">
        <v>153</v>
      </c>
      <c r="C68" t="s">
        <v>71</v>
      </c>
      <c r="D68" t="str">
        <f>_xlfn.XLOOKUP(C68, IndustryTable[Raw Industry], IndustryTable[Standardized Industry], "Unmapped")</f>
        <v>Healthcare</v>
      </c>
      <c r="E68" s="3">
        <v>63627</v>
      </c>
      <c r="F68" s="3" t="str" cm="1">
        <f t="array" ref="F68">_xlfn.IFS(E68 &gt; 500000,"Over $500,000", E68 &gt;= 100000, "Between $100,000-$500,000", E68 &lt; 100000, "Less than $100,000")</f>
        <v>Less than $100,000</v>
      </c>
      <c r="G68" s="2">
        <v>8.7999999999999995E-2</v>
      </c>
      <c r="H68" s="2" t="str">
        <f t="shared" si="2"/>
        <v>Positive Growth</v>
      </c>
      <c r="I68" s="3">
        <v>81000</v>
      </c>
      <c r="J68" t="s">
        <v>38</v>
      </c>
      <c r="K68" t="str">
        <f t="shared" si="3"/>
        <v>New York</v>
      </c>
    </row>
    <row r="69" spans="1:11" x14ac:dyDescent="0.3">
      <c r="A69">
        <v>68</v>
      </c>
      <c r="B69" t="s">
        <v>154</v>
      </c>
      <c r="C69" t="s">
        <v>25</v>
      </c>
      <c r="D69" t="str">
        <f>_xlfn.XLOOKUP(C69, IndustryTable[Raw Industry], IndustryTable[Standardized Industry], "Unmapped")</f>
        <v>Technology</v>
      </c>
      <c r="E69" s="3">
        <v>62753</v>
      </c>
      <c r="F69" s="3" t="str" cm="1">
        <f t="array" ref="F69">_xlfn.IFS(E69 &gt; 500000,"Over $500,000", E69 &gt;= 100000, "Between $100,000-$500,000", E69 &lt; 100000, "Less than $100,000")</f>
        <v>Less than $100,000</v>
      </c>
      <c r="G69" s="2">
        <v>1.4E-2</v>
      </c>
      <c r="H69" s="2" t="str">
        <f t="shared" si="2"/>
        <v>Positive Growth</v>
      </c>
      <c r="I69" s="3">
        <v>284500</v>
      </c>
      <c r="J69" t="s">
        <v>155</v>
      </c>
      <c r="K69" t="str">
        <f t="shared" si="3"/>
        <v>New York</v>
      </c>
    </row>
    <row r="70" spans="1:11" x14ac:dyDescent="0.3">
      <c r="A70">
        <v>69</v>
      </c>
      <c r="B70" t="s">
        <v>156</v>
      </c>
      <c r="C70" t="s">
        <v>134</v>
      </c>
      <c r="D70" t="str">
        <f>_xlfn.XLOOKUP(C70, IndustryTable[Raw Industry], IndustryTable[Standardized Industry], "Unmapped")</f>
        <v>Insurance</v>
      </c>
      <c r="E70" s="3">
        <v>62639</v>
      </c>
      <c r="F70" s="3" t="str" cm="1">
        <f t="array" ref="F70">_xlfn.IFS(E70 &gt; 500000,"Over $500,000", E70 &gt;= 100000, "Between $100,000-$500,000", E70 &lt; 100000, "Less than $100,000")</f>
        <v>Less than $100,000</v>
      </c>
      <c r="G70" s="2">
        <v>0.153</v>
      </c>
      <c r="H70" s="2" t="str">
        <f t="shared" si="2"/>
        <v>Positive Growth</v>
      </c>
      <c r="I70" s="3">
        <v>15131</v>
      </c>
      <c r="J70" t="s">
        <v>38</v>
      </c>
      <c r="K70" t="str">
        <f t="shared" si="3"/>
        <v>New York</v>
      </c>
    </row>
    <row r="71" spans="1:11" x14ac:dyDescent="0.3">
      <c r="A71">
        <v>70</v>
      </c>
      <c r="B71" t="s">
        <v>157</v>
      </c>
      <c r="C71" t="s">
        <v>158</v>
      </c>
      <c r="D71" t="str">
        <f>_xlfn.XLOOKUP(C71, IndustryTable[Raw Industry], IndustryTable[Standardized Industry], "Unmapped")</f>
        <v>Airline</v>
      </c>
      <c r="E71" s="3">
        <v>61643</v>
      </c>
      <c r="F71" s="3" t="str" cm="1">
        <f t="array" ref="F71">_xlfn.IFS(E71 &gt; 500000,"Over $500,000", E71 &gt;= 100000, "Between $100,000-$500,000", E71 &lt; 100000, "Less than $100,000")</f>
        <v>Less than $100,000</v>
      </c>
      <c r="G71" s="2">
        <v>6.2E-2</v>
      </c>
      <c r="H71" s="2" t="str">
        <f t="shared" si="2"/>
        <v>Positive Growth</v>
      </c>
      <c r="I71" s="3">
        <v>103000</v>
      </c>
      <c r="J71" t="s">
        <v>67</v>
      </c>
      <c r="K71" t="str">
        <f t="shared" si="3"/>
        <v>Georgia</v>
      </c>
    </row>
    <row r="72" spans="1:11" x14ac:dyDescent="0.3">
      <c r="A72">
        <v>71</v>
      </c>
      <c r="B72" t="s">
        <v>159</v>
      </c>
      <c r="C72" t="s">
        <v>8</v>
      </c>
      <c r="D72" t="str">
        <f>_xlfn.XLOOKUP(C72, IndustryTable[Raw Industry], IndustryTable[Standardized Industry], "Unmapped")</f>
        <v>Retail</v>
      </c>
      <c r="E72" s="3">
        <v>60177</v>
      </c>
      <c r="F72" s="3" t="str" cm="1">
        <f t="array" ref="F72">_xlfn.IFS(E72 &gt; 500000,"Over $500,000", E72 &gt;= 100000, "Between $100,000-$500,000", E72 &lt; 100000, "Less than $100,000")</f>
        <v>Less than $100,000</v>
      </c>
      <c r="G72" s="2">
        <v>4.5999999999999999E-2</v>
      </c>
      <c r="H72" s="2" t="str">
        <f t="shared" si="2"/>
        <v>Positive Growth</v>
      </c>
      <c r="I72" s="3">
        <v>255000</v>
      </c>
      <c r="J72" t="s">
        <v>160</v>
      </c>
      <c r="K72" t="str">
        <f t="shared" si="3"/>
        <v>Florida</v>
      </c>
    </row>
    <row r="73" spans="1:11" x14ac:dyDescent="0.3">
      <c r="A73">
        <v>72</v>
      </c>
      <c r="B73" t="s">
        <v>161</v>
      </c>
      <c r="C73" t="s">
        <v>137</v>
      </c>
      <c r="D73" t="str">
        <f>_xlfn.XLOOKUP(C73, IndustryTable[Raw Industry], IndustryTable[Standardized Industry], "Unmapped")</f>
        <v>Finance</v>
      </c>
      <c r="E73" s="3">
        <v>58646</v>
      </c>
      <c r="F73" s="3" t="str" cm="1">
        <f t="array" ref="F73">_xlfn.IFS(E73 &gt; 500000,"Over $500,000", E73 &gt;= 100000, "Between $100,000-$500,000", E73 &lt; 100000, "Less than $100,000")</f>
        <v>Less than $100,000</v>
      </c>
      <c r="G73" s="2">
        <v>7.3999999999999996E-2</v>
      </c>
      <c r="H73" s="2" t="str">
        <f t="shared" si="2"/>
        <v>Positive Growth</v>
      </c>
      <c r="I73" s="3">
        <v>22453</v>
      </c>
      <c r="J73" t="s">
        <v>162</v>
      </c>
      <c r="K73" t="str">
        <f t="shared" si="3"/>
        <v>Ohio</v>
      </c>
    </row>
    <row r="74" spans="1:11" x14ac:dyDescent="0.3">
      <c r="A74">
        <v>73</v>
      </c>
      <c r="B74" t="s">
        <v>163</v>
      </c>
      <c r="C74" t="s">
        <v>164</v>
      </c>
      <c r="D74" t="str">
        <f>_xlfn.XLOOKUP(C74, IndustryTable[Raw Industry], IndustryTable[Standardized Industry], "Unmapped")</f>
        <v>Technology</v>
      </c>
      <c r="E74" s="3">
        <v>58452</v>
      </c>
      <c r="F74" s="3" t="str" cm="1">
        <f t="array" ref="F74">_xlfn.IFS(E74 &gt; 500000,"Over $500,000", E74 &gt;= 100000, "Between $100,000-$500,000", E74 &lt; 100000, "Less than $100,000")</f>
        <v>Less than $100,000</v>
      </c>
      <c r="G74" s="2">
        <v>1.6E-2</v>
      </c>
      <c r="H74" s="2" t="str">
        <f t="shared" si="2"/>
        <v>Positive Growth</v>
      </c>
      <c r="I74" s="3">
        <v>25750</v>
      </c>
      <c r="J74" t="s">
        <v>165</v>
      </c>
      <c r="K74" t="str">
        <f t="shared" si="3"/>
        <v>Florida</v>
      </c>
    </row>
    <row r="75" spans="1:11" x14ac:dyDescent="0.3">
      <c r="A75">
        <v>74</v>
      </c>
      <c r="B75" t="s">
        <v>166</v>
      </c>
      <c r="C75" t="s">
        <v>158</v>
      </c>
      <c r="D75" t="str">
        <f>_xlfn.XLOOKUP(C75, IndustryTable[Raw Industry], IndustryTable[Standardized Industry], "Unmapped")</f>
        <v>Airline</v>
      </c>
      <c r="E75" s="3">
        <v>57063</v>
      </c>
      <c r="F75" s="3" t="str" cm="1">
        <f t="array" ref="F75">_xlfn.IFS(E75 &gt; 500000,"Over $500,000", E75 &gt;= 100000, "Between $100,000-$500,000", E75 &lt; 100000, "Less than $100,000")</f>
        <v>Less than $100,000</v>
      </c>
      <c r="G75" s="2">
        <v>6.2E-2</v>
      </c>
      <c r="H75" s="2" t="str">
        <f t="shared" si="2"/>
        <v>Positive Growth</v>
      </c>
      <c r="I75" s="3">
        <v>107300</v>
      </c>
      <c r="J75" t="s">
        <v>121</v>
      </c>
      <c r="K75" t="str">
        <f t="shared" si="3"/>
        <v>Illinois</v>
      </c>
    </row>
    <row r="76" spans="1:11" x14ac:dyDescent="0.3">
      <c r="A76">
        <v>75</v>
      </c>
      <c r="B76" t="s">
        <v>167</v>
      </c>
      <c r="C76" t="s">
        <v>28</v>
      </c>
      <c r="D76" t="str">
        <f>_xlfn.XLOOKUP(C76, IndustryTable[Raw Industry], IndustryTable[Standardized Industry], "Unmapped")</f>
        <v>Energy / Oil and Gas</v>
      </c>
      <c r="E76" s="3">
        <v>56953</v>
      </c>
      <c r="F76" s="3" t="str" cm="1">
        <f t="array" ref="F76">_xlfn.IFS(E76 &gt; 500000,"Over $500,000", E76 &gt;= 100000, "Between $100,000-$500,000", E76 &lt; 100000, "Less than $100,000")</f>
        <v>Less than $100,000</v>
      </c>
      <c r="G76" s="2">
        <v>-2.8000000000000001E-2</v>
      </c>
      <c r="H76" s="2" t="str">
        <f t="shared" si="2"/>
        <v>Negative Growth</v>
      </c>
      <c r="I76" s="3">
        <v>11800</v>
      </c>
      <c r="J76" t="s">
        <v>49</v>
      </c>
      <c r="K76" t="str">
        <f t="shared" si="3"/>
        <v>Texas</v>
      </c>
    </row>
    <row r="77" spans="1:11" x14ac:dyDescent="0.3">
      <c r="A77">
        <v>76</v>
      </c>
      <c r="B77" t="s">
        <v>168</v>
      </c>
      <c r="C77" t="s">
        <v>8</v>
      </c>
      <c r="D77" t="str">
        <f>_xlfn.XLOOKUP(C77, IndustryTable[Raw Industry], IndustryTable[Standardized Industry], "Unmapped")</f>
        <v>Retail</v>
      </c>
      <c r="E77" s="3">
        <v>56360</v>
      </c>
      <c r="F77" s="3" t="str" cm="1">
        <f t="array" ref="F77">_xlfn.IFS(E77 &gt; 500000,"Over $500,000", E77 &gt;= 100000, "Between $100,000-$500,000", E77 &lt; 100000, "Less than $100,000")</f>
        <v>Less than $100,000</v>
      </c>
      <c r="G77" s="2">
        <v>0.04</v>
      </c>
      <c r="H77" s="2" t="str">
        <f t="shared" si="2"/>
        <v>Positive Growth</v>
      </c>
      <c r="I77" s="3">
        <v>364000</v>
      </c>
      <c r="J77" t="s">
        <v>169</v>
      </c>
      <c r="K77" t="str">
        <f t="shared" si="3"/>
        <v>Massachusetts</v>
      </c>
    </row>
    <row r="78" spans="1:11" x14ac:dyDescent="0.3">
      <c r="A78">
        <v>77</v>
      </c>
      <c r="B78" t="s">
        <v>170</v>
      </c>
      <c r="C78" t="s">
        <v>71</v>
      </c>
      <c r="D78" t="str">
        <f>_xlfn.XLOOKUP(C78, IndustryTable[Raw Industry], IndustryTable[Standardized Industry], "Unmapped")</f>
        <v>Healthcare</v>
      </c>
      <c r="E78" s="3">
        <v>56334</v>
      </c>
      <c r="F78" s="3" t="str" cm="1">
        <f t="array" ref="F78">_xlfn.IFS(E78 &gt; 500000,"Over $500,000", E78 &gt;= 100000, "Between $100,000-$500,000", E78 &lt; 100000, "Less than $100,000")</f>
        <v>Less than $100,000</v>
      </c>
      <c r="G78" s="2">
        <v>3.6999999999999998E-2</v>
      </c>
      <c r="H78" s="2" t="str">
        <f t="shared" si="2"/>
        <v>Positive Growth</v>
      </c>
      <c r="I78" s="3">
        <v>55000</v>
      </c>
      <c r="J78" t="s">
        <v>171</v>
      </c>
      <c r="K78" t="str">
        <f t="shared" si="3"/>
        <v>Illinois</v>
      </c>
    </row>
    <row r="79" spans="1:11" x14ac:dyDescent="0.3">
      <c r="A79">
        <v>78</v>
      </c>
      <c r="B79" t="s">
        <v>172</v>
      </c>
      <c r="C79" t="s">
        <v>28</v>
      </c>
      <c r="D79" t="str">
        <f>_xlfn.XLOOKUP(C79, IndustryTable[Raw Industry], IndustryTable[Standardized Industry], "Unmapped")</f>
        <v>Energy / Oil and Gas</v>
      </c>
      <c r="E79" s="3">
        <v>56219</v>
      </c>
      <c r="F79" s="3" t="str" cm="1">
        <f t="array" ref="F79">_xlfn.IFS(E79 &gt; 500000,"Over $500,000", E79 &gt;= 100000, "Between $100,000-$500,000", E79 &lt; 100000, "Less than $100,000")</f>
        <v>Less than $100,000</v>
      </c>
      <c r="G79" s="2">
        <v>0.13100000000000001</v>
      </c>
      <c r="H79" s="2" t="str">
        <f t="shared" si="2"/>
        <v>Positive Growth</v>
      </c>
      <c r="I79" s="3">
        <v>7800</v>
      </c>
      <c r="J79" t="s">
        <v>49</v>
      </c>
      <c r="K79" t="str">
        <f t="shared" si="3"/>
        <v>Texas</v>
      </c>
    </row>
    <row r="80" spans="1:11" x14ac:dyDescent="0.3">
      <c r="A80">
        <v>79</v>
      </c>
      <c r="B80" t="s">
        <v>173</v>
      </c>
      <c r="C80" t="s">
        <v>79</v>
      </c>
      <c r="D80" t="str">
        <f>_xlfn.XLOOKUP(C80, IndustryTable[Raw Industry], IndustryTable[Standardized Industry], "Unmapped")</f>
        <v>Telecommunications</v>
      </c>
      <c r="E80" s="3">
        <v>55085</v>
      </c>
      <c r="F80" s="3" t="str" cm="1">
        <f t="array" ref="F80">_xlfn.IFS(E80 &gt; 500000,"Over $500,000", E80 &gt;= 100000, "Between $100,000-$500,000", E80 &lt; 100000, "Less than $100,000")</f>
        <v>Less than $100,000</v>
      </c>
      <c r="G80" s="2">
        <v>8.9999999999999993E-3</v>
      </c>
      <c r="H80" s="2" t="str">
        <f t="shared" si="2"/>
        <v>Positive Growth</v>
      </c>
      <c r="I80" s="3">
        <v>94500</v>
      </c>
      <c r="J80" t="s">
        <v>174</v>
      </c>
      <c r="K80" t="str">
        <f t="shared" si="3"/>
        <v>Connecticut</v>
      </c>
    </row>
    <row r="81" spans="1:11" x14ac:dyDescent="0.3">
      <c r="A81">
        <v>80</v>
      </c>
      <c r="B81" t="s">
        <v>175</v>
      </c>
      <c r="C81" t="s">
        <v>176</v>
      </c>
      <c r="D81" t="str">
        <f>_xlfn.XLOOKUP(C81, IndustryTable[Raw Industry], IndustryTable[Standardized Industry], "Unmapped")</f>
        <v>Food processing</v>
      </c>
      <c r="E81" s="3">
        <v>54681</v>
      </c>
      <c r="F81" s="3" t="str" cm="1">
        <f t="array" ref="F81">_xlfn.IFS(E81 &gt; 500000,"Over $500,000", E81 &gt;= 100000, "Between $100,000-$500,000", E81 &lt; 100000, "Less than $100,000")</f>
        <v>Less than $100,000</v>
      </c>
      <c r="G81" s="2">
        <v>2.5000000000000001E-2</v>
      </c>
      <c r="H81" s="2" t="str">
        <f t="shared" si="2"/>
        <v>Positive Growth</v>
      </c>
      <c r="I81" s="3">
        <v>36815</v>
      </c>
      <c r="J81" t="s">
        <v>177</v>
      </c>
      <c r="K81" t="str">
        <f t="shared" si="3"/>
        <v>Virginia</v>
      </c>
    </row>
    <row r="82" spans="1:11" x14ac:dyDescent="0.3">
      <c r="A82">
        <v>81</v>
      </c>
      <c r="B82" t="s">
        <v>178</v>
      </c>
      <c r="C82" t="s">
        <v>158</v>
      </c>
      <c r="D82" t="str">
        <f>_xlfn.XLOOKUP(C82, IndustryTable[Raw Industry], IndustryTable[Standardized Industry], "Unmapped")</f>
        <v>Airline</v>
      </c>
      <c r="E82" s="3">
        <v>54211</v>
      </c>
      <c r="F82" s="3" t="str" cm="1">
        <f t="array" ref="F82">_xlfn.IFS(E82 &gt; 500000,"Over $500,000", E82 &gt;= 100000, "Between $100,000-$500,000", E82 &lt; 100000, "Less than $100,000")</f>
        <v>Less than $100,000</v>
      </c>
      <c r="G82" s="2">
        <v>2.7E-2</v>
      </c>
      <c r="H82" s="2" t="str">
        <f t="shared" si="2"/>
        <v>Positive Growth</v>
      </c>
      <c r="I82" s="3">
        <v>133300</v>
      </c>
      <c r="J82" t="s">
        <v>179</v>
      </c>
      <c r="K82" t="str">
        <f t="shared" si="3"/>
        <v>Texas</v>
      </c>
    </row>
    <row r="83" spans="1:11" x14ac:dyDescent="0.3">
      <c r="A83">
        <v>82</v>
      </c>
      <c r="B83" t="s">
        <v>180</v>
      </c>
      <c r="C83" t="s">
        <v>51</v>
      </c>
      <c r="D83" t="str">
        <f>_xlfn.XLOOKUP(C83, IndustryTable[Raw Industry], IndustryTable[Standardized Industry], "Unmapped")</f>
        <v>Finance</v>
      </c>
      <c r="E83" s="3">
        <v>53938</v>
      </c>
      <c r="F83" s="3" t="str" cm="1">
        <f t="array" ref="F83">_xlfn.IFS(E83 &gt; 500000,"Over $500,000", E83 &gt;= 100000, "Between $100,000-$500,000", E83 &lt; 100000, "Less than $100,000")</f>
        <v>Less than $100,000</v>
      </c>
      <c r="G83" s="2">
        <v>0.09</v>
      </c>
      <c r="H83" s="2" t="str">
        <f t="shared" si="2"/>
        <v>Positive Growth</v>
      </c>
      <c r="I83" s="3">
        <v>52600</v>
      </c>
      <c r="J83" t="s">
        <v>177</v>
      </c>
      <c r="K83" t="str">
        <f t="shared" si="3"/>
        <v>Virginia</v>
      </c>
    </row>
    <row r="84" spans="1:11" x14ac:dyDescent="0.3">
      <c r="A84">
        <v>83</v>
      </c>
      <c r="B84" t="s">
        <v>181</v>
      </c>
      <c r="C84" t="s">
        <v>182</v>
      </c>
      <c r="D84" t="str">
        <f>_xlfn.XLOOKUP(C84, IndustryTable[Raw Industry], IndustryTable[Standardized Industry], "Unmapped")</f>
        <v>Technology</v>
      </c>
      <c r="E84" s="3">
        <v>53803</v>
      </c>
      <c r="F84" s="3" t="str" cm="1">
        <f t="array" ref="F84">_xlfn.IFS(E84 &gt; 500000,"Over $500,000", E84 &gt;= 100000, "Between $100,000-$500,000", E84 &lt; 100000, "Less than $100,000")</f>
        <v>Less than $100,000</v>
      </c>
      <c r="G84" s="2">
        <v>-5.6000000000000001E-2</v>
      </c>
      <c r="H84" s="2" t="str">
        <f t="shared" si="2"/>
        <v>Negative Growth</v>
      </c>
      <c r="I84" s="3">
        <v>90400</v>
      </c>
      <c r="J84" t="s">
        <v>183</v>
      </c>
      <c r="K84" t="str">
        <f t="shared" si="3"/>
        <v>California</v>
      </c>
    </row>
    <row r="85" spans="1:11" x14ac:dyDescent="0.3">
      <c r="A85">
        <v>84</v>
      </c>
      <c r="B85" t="s">
        <v>184</v>
      </c>
      <c r="C85" t="s">
        <v>62</v>
      </c>
      <c r="D85" t="str">
        <f>_xlfn.XLOOKUP(C85, IndustryTable[Raw Industry], IndustryTable[Standardized Industry], "Unmapped")</f>
        <v>Technology</v>
      </c>
      <c r="E85" s="3">
        <v>53559</v>
      </c>
      <c r="F85" s="3" t="str" cm="1">
        <f t="array" ref="F85">_xlfn.IFS(E85 &gt; 500000,"Over $500,000", E85 &gt;= 100000, "Between $100,000-$500,000", E85 &lt; 100000, "Less than $100,000")</f>
        <v>Less than $100,000</v>
      </c>
      <c r="G85" s="2">
        <v>-3.0000000000000001E-3</v>
      </c>
      <c r="H85" s="2" t="str">
        <f t="shared" si="2"/>
        <v>Negative Growth</v>
      </c>
      <c r="I85" s="3">
        <v>58000</v>
      </c>
      <c r="J85" t="s">
        <v>185</v>
      </c>
      <c r="K85" t="str">
        <f t="shared" si="3"/>
        <v>California</v>
      </c>
    </row>
    <row r="86" spans="1:11" x14ac:dyDescent="0.3">
      <c r="A86">
        <v>85</v>
      </c>
      <c r="B86" t="s">
        <v>186</v>
      </c>
      <c r="C86" t="s">
        <v>176</v>
      </c>
      <c r="D86" t="str">
        <f>_xlfn.XLOOKUP(C86, IndustryTable[Raw Industry], IndustryTable[Standardized Industry], "Unmapped")</f>
        <v>Food processing</v>
      </c>
      <c r="E86" s="3">
        <v>53309</v>
      </c>
      <c r="F86" s="3" t="str" cm="1">
        <f t="array" ref="F86">_xlfn.IFS(E86 &gt; 500000,"Over $500,000", E86 &gt;= 100000, "Between $100,000-$500,000", E86 &lt; 100000, "Less than $100,000")</f>
        <v>Less than $100,000</v>
      </c>
      <c r="G86" s="2">
        <v>8.0000000000000002E-3</v>
      </c>
      <c r="H86" s="2" t="str">
        <f t="shared" si="2"/>
        <v>Positive Growth</v>
      </c>
      <c r="I86" s="3">
        <v>138000</v>
      </c>
      <c r="J86" t="s">
        <v>187</v>
      </c>
      <c r="K86" t="str">
        <f t="shared" si="3"/>
        <v>Arkansas</v>
      </c>
    </row>
    <row r="87" spans="1:11" x14ac:dyDescent="0.3">
      <c r="A87">
        <v>86</v>
      </c>
      <c r="B87" t="s">
        <v>188</v>
      </c>
      <c r="C87" t="s">
        <v>62</v>
      </c>
      <c r="D87" t="str">
        <f>_xlfn.XLOOKUP(C87, IndustryTable[Raw Industry], IndustryTable[Standardized Industry], "Unmapped")</f>
        <v>Technology</v>
      </c>
      <c r="E87" s="3">
        <v>53101</v>
      </c>
      <c r="F87" s="3" t="str" cm="1">
        <f t="array" ref="F87">_xlfn.IFS(E87 &gt; 500000,"Over $500,000", E87 &gt;= 100000, "Between $100,000-$500,000", E87 &lt; 100000, "Less than $100,000")</f>
        <v>Less than $100,000</v>
      </c>
      <c r="G87" s="2">
        <v>-2.1000000000000001E-2</v>
      </c>
      <c r="H87" s="2" t="str">
        <f t="shared" si="2"/>
        <v>Negative Growth</v>
      </c>
      <c r="I87" s="3">
        <v>108900</v>
      </c>
      <c r="J87" t="s">
        <v>81</v>
      </c>
      <c r="K87" t="str">
        <f t="shared" si="3"/>
        <v>California</v>
      </c>
    </row>
    <row r="88" spans="1:11" x14ac:dyDescent="0.3">
      <c r="A88">
        <v>87</v>
      </c>
      <c r="B88" t="s">
        <v>189</v>
      </c>
      <c r="C88" t="s">
        <v>62</v>
      </c>
      <c r="D88" t="str">
        <f>_xlfn.XLOOKUP(C88, IndustryTable[Raw Industry], IndustryTable[Standardized Industry], "Unmapped")</f>
        <v>Technology</v>
      </c>
      <c r="E88" s="3">
        <v>52961</v>
      </c>
      <c r="F88" s="3" t="str" cm="1">
        <f t="array" ref="F88">_xlfn.IFS(E88 &gt; 500000,"Over $500,000", E88 &gt;= 100000, "Between $100,000-$500,000", E88 &lt; 100000, "Less than $100,000")</f>
        <v>Less than $100,000</v>
      </c>
      <c r="G88" s="2">
        <v>0.06</v>
      </c>
      <c r="H88" s="2" t="str">
        <f t="shared" si="2"/>
        <v>Positive Growth</v>
      </c>
      <c r="I88" s="3">
        <v>159000</v>
      </c>
      <c r="J88" t="s">
        <v>104</v>
      </c>
      <c r="K88" t="str">
        <f t="shared" si="3"/>
        <v>Texas</v>
      </c>
    </row>
    <row r="89" spans="1:11" x14ac:dyDescent="0.3">
      <c r="A89">
        <v>88</v>
      </c>
      <c r="B89" t="s">
        <v>190</v>
      </c>
      <c r="C89" t="s">
        <v>62</v>
      </c>
      <c r="D89" t="str">
        <f>_xlfn.XLOOKUP(C89, IndustryTable[Raw Industry], IndustryTable[Standardized Industry], "Unmapped")</f>
        <v>Technology</v>
      </c>
      <c r="E89" s="3">
        <v>52432</v>
      </c>
      <c r="F89" s="3" t="str" cm="1">
        <f t="array" ref="F89">_xlfn.IFS(E89 &gt; 500000,"Over $500,000", E89 &gt;= 100000, "Between $100,000-$500,000", E89 &lt; 100000, "Less than $100,000")</f>
        <v>Less than $100,000</v>
      </c>
      <c r="G89" s="2">
        <v>0.46400000000000002</v>
      </c>
      <c r="H89" s="2" t="str">
        <f t="shared" si="2"/>
        <v>Positive Growth</v>
      </c>
      <c r="I89" s="3">
        <v>37000</v>
      </c>
      <c r="J89" t="s">
        <v>185</v>
      </c>
      <c r="K89" t="str">
        <f t="shared" si="3"/>
        <v>California</v>
      </c>
    </row>
    <row r="90" spans="1:11" x14ac:dyDescent="0.3">
      <c r="A90">
        <v>89</v>
      </c>
      <c r="B90" t="s">
        <v>191</v>
      </c>
      <c r="C90" t="s">
        <v>192</v>
      </c>
      <c r="D90" t="str">
        <f>_xlfn.XLOOKUP(C90, IndustryTable[Raw Industry], IndustryTable[Standardized Industry], "Unmapped")</f>
        <v>Machinery</v>
      </c>
      <c r="E90" s="3">
        <v>51716</v>
      </c>
      <c r="F90" s="3" t="str" cm="1">
        <f t="array" ref="F90">_xlfn.IFS(E90 &gt; 500000,"Over $500,000", E90 &gt;= 100000, "Between $100,000-$500,000", E90 &lt; 100000, "Less than $100,000")</f>
        <v>Less than $100,000</v>
      </c>
      <c r="G90" s="2">
        <v>-0.156</v>
      </c>
      <c r="H90" s="2" t="str">
        <f t="shared" si="2"/>
        <v>Negative Growth</v>
      </c>
      <c r="I90" s="3">
        <v>55524</v>
      </c>
      <c r="J90" t="s">
        <v>193</v>
      </c>
      <c r="K90" t="str">
        <f t="shared" si="3"/>
        <v>Illinois</v>
      </c>
    </row>
    <row r="91" spans="1:11" x14ac:dyDescent="0.3">
      <c r="A91">
        <v>90</v>
      </c>
      <c r="B91" t="s">
        <v>194</v>
      </c>
      <c r="C91" t="s">
        <v>195</v>
      </c>
      <c r="D91" t="str">
        <f>_xlfn.XLOOKUP(C91, IndustryTable[Raw Industry], IndustryTable[Standardized Industry], "Unmapped")</f>
        <v>Apparel</v>
      </c>
      <c r="E91" s="3">
        <v>51361</v>
      </c>
      <c r="F91" s="3" t="str" cm="1">
        <f t="array" ref="F91">_xlfn.IFS(E91 &gt; 500000,"Over $500,000", E91 &gt;= 100000, "Between $100,000-$500,000", E91 &lt; 100000, "Less than $100,000")</f>
        <v>Less than $100,000</v>
      </c>
      <c r="G91" s="2">
        <v>3.0000000000000001E-3</v>
      </c>
      <c r="H91" s="2" t="str">
        <f t="shared" si="2"/>
        <v>Positive Growth</v>
      </c>
      <c r="I91" s="3">
        <v>78400</v>
      </c>
      <c r="J91" t="s">
        <v>196</v>
      </c>
      <c r="K91" t="str">
        <f t="shared" si="3"/>
        <v>Oregon</v>
      </c>
    </row>
    <row r="92" spans="1:11" x14ac:dyDescent="0.3">
      <c r="A92">
        <v>91</v>
      </c>
      <c r="B92" t="s">
        <v>197</v>
      </c>
      <c r="C92" t="s">
        <v>134</v>
      </c>
      <c r="D92" t="str">
        <f>_xlfn.XLOOKUP(C92, IndustryTable[Raw Industry], IndustryTable[Standardized Industry], "Unmapped")</f>
        <v>Insurance</v>
      </c>
      <c r="E92" s="3">
        <v>50429</v>
      </c>
      <c r="F92" s="3" t="str" cm="1">
        <f t="array" ref="F92">_xlfn.IFS(E92 &gt; 500000,"Over $500,000", E92 &gt;= 100000, "Between $100,000-$500,000", E92 &lt; 100000, "Less than $100,000")</f>
        <v>Less than $100,000</v>
      </c>
      <c r="G92" s="2">
        <v>-4.1000000000000002E-2</v>
      </c>
      <c r="H92" s="2" t="str">
        <f t="shared" si="2"/>
        <v>Negative Growth</v>
      </c>
      <c r="I92" s="3">
        <v>40000</v>
      </c>
      <c r="J92" t="s">
        <v>198</v>
      </c>
      <c r="K92" t="str">
        <f t="shared" si="3"/>
        <v>Massachusetts</v>
      </c>
    </row>
    <row r="93" spans="1:11" x14ac:dyDescent="0.3">
      <c r="A93">
        <v>92</v>
      </c>
      <c r="B93" t="s">
        <v>199</v>
      </c>
      <c r="C93" t="s">
        <v>28</v>
      </c>
      <c r="D93" t="str">
        <f>_xlfn.XLOOKUP(C93, IndustryTable[Raw Industry], IndustryTable[Standardized Industry], "Unmapped")</f>
        <v>Energy / Oil and Gas</v>
      </c>
      <c r="E93" s="3">
        <v>50073</v>
      </c>
      <c r="F93" s="3" t="str" cm="1">
        <f t="array" ref="F93">_xlfn.IFS(E93 &gt; 500000,"Over $500,000", E93 &gt;= 100000, "Between $100,000-$500,000", E93 &lt; 100000, "Less than $100,000")</f>
        <v>Less than $100,000</v>
      </c>
      <c r="G93" s="2">
        <v>2.8000000000000001E-2</v>
      </c>
      <c r="H93" s="2" t="str">
        <f t="shared" si="2"/>
        <v>Positive Growth</v>
      </c>
      <c r="I93" s="3">
        <v>4200</v>
      </c>
      <c r="J93" t="s">
        <v>49</v>
      </c>
      <c r="K93" t="str">
        <f t="shared" si="3"/>
        <v>Texas</v>
      </c>
    </row>
    <row r="94" spans="1:11" x14ac:dyDescent="0.3">
      <c r="A94">
        <v>93</v>
      </c>
      <c r="B94" t="s">
        <v>200</v>
      </c>
      <c r="C94" t="s">
        <v>134</v>
      </c>
      <c r="D94" t="str">
        <f>_xlfn.XLOOKUP(C94, IndustryTable[Raw Industry], IndustryTable[Standardized Industry], "Unmapped")</f>
        <v>Insurance</v>
      </c>
      <c r="E94" s="3">
        <v>48560</v>
      </c>
      <c r="F94" s="3" t="str" cm="1">
        <f t="array" ref="F94">_xlfn.IFS(E94 &gt; 500000,"Over $500,000", E94 &gt;= 100000, "Between $100,000-$500,000", E94 &lt; 100000, "Less than $100,000")</f>
        <v>Less than $100,000</v>
      </c>
      <c r="G94" s="2">
        <v>0.14299999999999999</v>
      </c>
      <c r="H94" s="2" t="str">
        <f t="shared" si="2"/>
        <v>Positive Growth</v>
      </c>
      <c r="I94" s="3">
        <v>38018</v>
      </c>
      <c r="J94" t="s">
        <v>86</v>
      </c>
      <c r="K94" t="str">
        <f t="shared" si="3"/>
        <v>Texas</v>
      </c>
    </row>
    <row r="95" spans="1:11" x14ac:dyDescent="0.3">
      <c r="A95">
        <v>94</v>
      </c>
      <c r="B95" t="s">
        <v>201</v>
      </c>
      <c r="C95" t="s">
        <v>71</v>
      </c>
      <c r="D95" t="str">
        <f>_xlfn.XLOOKUP(C95, IndustryTable[Raw Industry], IndustryTable[Standardized Industry], "Unmapped")</f>
        <v>Healthcare</v>
      </c>
      <c r="E95" s="3">
        <v>48300</v>
      </c>
      <c r="F95" s="3" t="str" cm="1">
        <f t="array" ref="F95">_xlfn.IFS(E95 &gt; 500000,"Over $500,000", E95 &gt;= 100000, "Between $100,000-$500,000", E95 &lt; 100000, "Less than $100,000")</f>
        <v>Less than $100,000</v>
      </c>
      <c r="G95" s="2">
        <v>7.2999999999999995E-2</v>
      </c>
      <c r="H95" s="2" t="str">
        <f t="shared" si="2"/>
        <v>Positive Growth</v>
      </c>
      <c r="I95" s="3">
        <v>34100</v>
      </c>
      <c r="J95" t="s">
        <v>38</v>
      </c>
      <c r="K95" t="str">
        <f t="shared" si="3"/>
        <v>New York</v>
      </c>
    </row>
    <row r="96" spans="1:11" x14ac:dyDescent="0.3">
      <c r="A96">
        <v>95</v>
      </c>
      <c r="B96" t="s">
        <v>202</v>
      </c>
      <c r="C96" t="s">
        <v>62</v>
      </c>
      <c r="D96" t="str">
        <f>_xlfn.XLOOKUP(C96, IndustryTable[Raw Industry], IndustryTable[Standardized Industry], "Unmapped")</f>
        <v>Technology</v>
      </c>
      <c r="E96" s="3">
        <v>47984</v>
      </c>
      <c r="F96" s="3" t="str" cm="1">
        <f t="array" ref="F96">_xlfn.IFS(E96 &gt; 500000,"Over $500,000", E96 &gt;= 100000, "Between $100,000-$500,000", E96 &lt; 100000, "Less than $100,000")</f>
        <v>Less than $100,000</v>
      </c>
      <c r="G96" s="2">
        <v>-1E-3</v>
      </c>
      <c r="H96" s="2" t="str">
        <f t="shared" si="2"/>
        <v>Negative Growth</v>
      </c>
      <c r="I96" s="3">
        <v>26125</v>
      </c>
      <c r="J96" t="s">
        <v>203</v>
      </c>
      <c r="K96" t="str">
        <f t="shared" si="3"/>
        <v>California</v>
      </c>
    </row>
    <row r="97" spans="1:11" x14ac:dyDescent="0.3">
      <c r="A97">
        <v>96</v>
      </c>
      <c r="B97" t="s">
        <v>204</v>
      </c>
      <c r="C97" t="s">
        <v>139</v>
      </c>
      <c r="D97" t="str">
        <f>_xlfn.XLOOKUP(C97, IndustryTable[Raw Industry], IndustryTable[Standardized Industry], "Unmapped")</f>
        <v>Aerospace and defense</v>
      </c>
      <c r="E97" s="3">
        <v>47716</v>
      </c>
      <c r="F97" s="3" t="str" cm="1">
        <f t="array" ref="F97">_xlfn.IFS(E97 &gt; 500000,"Over $500,000", E97 &gt;= 100000, "Between $100,000-$500,000", E97 &lt; 100000, "Less than $100,000")</f>
        <v>Less than $100,000</v>
      </c>
      <c r="G97" s="2">
        <v>0.129</v>
      </c>
      <c r="H97" s="2" t="str">
        <f t="shared" si="2"/>
        <v>Positive Growth</v>
      </c>
      <c r="I97" s="3">
        <v>117000</v>
      </c>
      <c r="J97" t="s">
        <v>205</v>
      </c>
      <c r="K97" t="str">
        <f t="shared" si="3"/>
        <v>Virginia</v>
      </c>
    </row>
    <row r="98" spans="1:11" x14ac:dyDescent="0.3">
      <c r="A98">
        <v>97</v>
      </c>
      <c r="B98" t="s">
        <v>206</v>
      </c>
      <c r="C98" t="s">
        <v>108</v>
      </c>
      <c r="D98" t="str">
        <f>_xlfn.XLOOKUP(C98, IndustryTable[Raw Industry], IndustryTable[Standardized Industry], "Unmapped")</f>
        <v>Food and Beverage</v>
      </c>
      <c r="E98" s="3">
        <v>47061</v>
      </c>
      <c r="F98" s="3" t="str" cm="1">
        <f t="array" ref="F98">_xlfn.IFS(E98 &gt; 500000,"Over $500,000", E98 &gt;= 100000, "Between $100,000-$500,000", E98 &lt; 100000, "Less than $100,000")</f>
        <v>Less than $100,000</v>
      </c>
      <c r="G98" s="2">
        <v>2.9000000000000001E-2</v>
      </c>
      <c r="H98" s="2" t="str">
        <f t="shared" si="2"/>
        <v>Positive Growth</v>
      </c>
      <c r="I98" s="3">
        <v>69700</v>
      </c>
      <c r="J98" t="s">
        <v>67</v>
      </c>
      <c r="K98" t="str">
        <f t="shared" si="3"/>
        <v>Georgia</v>
      </c>
    </row>
    <row r="99" spans="1:11" x14ac:dyDescent="0.3">
      <c r="A99">
        <v>98</v>
      </c>
      <c r="B99" t="s">
        <v>207</v>
      </c>
      <c r="C99" t="s">
        <v>51</v>
      </c>
      <c r="D99" t="str">
        <f>_xlfn.XLOOKUP(C99, IndustryTable[Raw Industry], IndustryTable[Standardized Industry], "Unmapped")</f>
        <v>Finance</v>
      </c>
      <c r="E99" s="3">
        <v>46946</v>
      </c>
      <c r="F99" s="3" t="str" cm="1">
        <f t="array" ref="F99">_xlfn.IFS(E99 &gt; 500000,"Over $500,000", E99 &gt;= 100000, "Between $100,000-$500,000", E99 &lt; 100000, "Less than $100,000")</f>
        <v>Less than $100,000</v>
      </c>
      <c r="G99" s="2">
        <v>2.5999999999999999E-2</v>
      </c>
      <c r="H99" s="2" t="str">
        <f t="shared" si="2"/>
        <v>Positive Growth</v>
      </c>
      <c r="I99" s="3">
        <v>15623</v>
      </c>
      <c r="J99" t="s">
        <v>38</v>
      </c>
      <c r="K99" t="str">
        <f t="shared" si="3"/>
        <v>New York</v>
      </c>
    </row>
    <row r="100" spans="1:11" x14ac:dyDescent="0.3">
      <c r="A100">
        <v>99</v>
      </c>
      <c r="B100" t="s">
        <v>208</v>
      </c>
      <c r="C100" t="s">
        <v>134</v>
      </c>
      <c r="D100" t="str">
        <f>_xlfn.XLOOKUP(C100, IndustryTable[Raw Industry], IndustryTable[Standardized Industry], "Unmapped")</f>
        <v>Insurance</v>
      </c>
      <c r="E100" s="3">
        <v>46423</v>
      </c>
      <c r="F100" s="3" t="str" cm="1">
        <f t="array" ref="F100">_xlfn.IFS(E100 &gt; 500000,"Over $500,000", E100 &gt;= 100000, "Between $100,000-$500,000", E100 &lt; 100000, "Less than $100,000")</f>
        <v>Less than $100,000</v>
      </c>
      <c r="G100" s="2">
        <v>0.122</v>
      </c>
      <c r="H100" s="2" t="str">
        <f t="shared" si="2"/>
        <v>Positive Growth</v>
      </c>
      <c r="I100" s="3">
        <v>34000</v>
      </c>
      <c r="J100" t="s">
        <v>38</v>
      </c>
      <c r="K100" t="str">
        <f t="shared" si="3"/>
        <v>New York</v>
      </c>
    </row>
    <row r="101" spans="1:11" x14ac:dyDescent="0.3">
      <c r="A101">
        <v>100</v>
      </c>
      <c r="B101" t="s">
        <v>209</v>
      </c>
      <c r="C101" t="s">
        <v>71</v>
      </c>
      <c r="D101" t="str">
        <f>_xlfn.XLOOKUP(C101, IndustryTable[Raw Industry], IndustryTable[Standardized Industry], "Unmapped")</f>
        <v>Healthcare</v>
      </c>
      <c r="E101" s="3">
        <v>45043</v>
      </c>
      <c r="F101" s="3" t="str" cm="1">
        <f t="array" ref="F101">_xlfn.IFS(E101 &gt; 500000,"Over $500,000", E101 &gt;= 100000, "Between $100,000-$500,000", E101 &lt; 100000, "Less than $100,000")</f>
        <v>Less than $100,000</v>
      </c>
      <c r="G101" s="2">
        <v>0.32</v>
      </c>
      <c r="H101" s="2" t="str">
        <f t="shared" si="2"/>
        <v>Positive Growth</v>
      </c>
      <c r="I101" s="3">
        <v>47000</v>
      </c>
      <c r="J101" t="s">
        <v>59</v>
      </c>
      <c r="K101" t="str">
        <f t="shared" si="3"/>
        <v>Indiana</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0B7BC-444F-4401-9690-5B2984BF3654}">
  <dimension ref="A1:B35"/>
  <sheetViews>
    <sheetView topLeftCell="A6" workbookViewId="0">
      <selection activeCell="B7" sqref="B7"/>
    </sheetView>
  </sheetViews>
  <sheetFormatPr defaultRowHeight="14.4" x14ac:dyDescent="0.3"/>
  <cols>
    <col min="1" max="1" width="13.44140625" customWidth="1"/>
    <col min="2" max="2" width="21.21875" customWidth="1"/>
  </cols>
  <sheetData>
    <row r="1" spans="1:2" x14ac:dyDescent="0.3">
      <c r="A1" t="s">
        <v>216</v>
      </c>
      <c r="B1" t="s">
        <v>212</v>
      </c>
    </row>
    <row r="2" spans="1:2" x14ac:dyDescent="0.3">
      <c r="A2" t="s">
        <v>8</v>
      </c>
      <c r="B2" t="s">
        <v>8</v>
      </c>
    </row>
    <row r="3" spans="1:2" x14ac:dyDescent="0.3">
      <c r="A3" t="s">
        <v>11</v>
      </c>
      <c r="B3" t="s">
        <v>8</v>
      </c>
    </row>
    <row r="4" spans="1:2" x14ac:dyDescent="0.3">
      <c r="A4" t="s">
        <v>14</v>
      </c>
      <c r="B4" t="s">
        <v>14</v>
      </c>
    </row>
    <row r="5" spans="1:2" x14ac:dyDescent="0.3">
      <c r="A5" t="s">
        <v>17</v>
      </c>
      <c r="B5" t="s">
        <v>62</v>
      </c>
    </row>
    <row r="6" spans="1:2" x14ac:dyDescent="0.3">
      <c r="A6" t="s">
        <v>22</v>
      </c>
      <c r="B6" t="s">
        <v>219</v>
      </c>
    </row>
    <row r="7" spans="1:2" x14ac:dyDescent="0.3">
      <c r="A7" t="s">
        <v>25</v>
      </c>
      <c r="B7" t="s">
        <v>62</v>
      </c>
    </row>
    <row r="8" spans="1:2" x14ac:dyDescent="0.3">
      <c r="A8" t="s">
        <v>28</v>
      </c>
      <c r="B8" t="s">
        <v>220</v>
      </c>
    </row>
    <row r="9" spans="1:2" x14ac:dyDescent="0.3">
      <c r="A9" t="s">
        <v>31</v>
      </c>
      <c r="B9" t="s">
        <v>14</v>
      </c>
    </row>
    <row r="10" spans="1:2" x14ac:dyDescent="0.3">
      <c r="A10" t="s">
        <v>34</v>
      </c>
      <c r="B10" t="s">
        <v>14</v>
      </c>
    </row>
    <row r="11" spans="1:2" x14ac:dyDescent="0.3">
      <c r="A11" t="s">
        <v>37</v>
      </c>
      <c r="B11" t="s">
        <v>218</v>
      </c>
    </row>
    <row r="12" spans="1:2" x14ac:dyDescent="0.3">
      <c r="A12" t="s">
        <v>42</v>
      </c>
      <c r="B12" t="s">
        <v>14</v>
      </c>
    </row>
    <row r="13" spans="1:2" x14ac:dyDescent="0.3">
      <c r="A13" t="s">
        <v>51</v>
      </c>
      <c r="B13" t="s">
        <v>218</v>
      </c>
    </row>
    <row r="14" spans="1:2" x14ac:dyDescent="0.3">
      <c r="A14" t="s">
        <v>54</v>
      </c>
      <c r="B14" t="s">
        <v>217</v>
      </c>
    </row>
    <row r="15" spans="1:2" x14ac:dyDescent="0.3">
      <c r="A15" t="s">
        <v>62</v>
      </c>
      <c r="B15" t="s">
        <v>62</v>
      </c>
    </row>
    <row r="16" spans="1:2" x14ac:dyDescent="0.3">
      <c r="A16" t="s">
        <v>71</v>
      </c>
      <c r="B16" t="s">
        <v>14</v>
      </c>
    </row>
    <row r="17" spans="1:2" x14ac:dyDescent="0.3">
      <c r="A17" t="s">
        <v>79</v>
      </c>
      <c r="B17" t="s">
        <v>79</v>
      </c>
    </row>
    <row r="18" spans="1:2" x14ac:dyDescent="0.3">
      <c r="A18" t="s">
        <v>92</v>
      </c>
      <c r="B18" t="s">
        <v>79</v>
      </c>
    </row>
    <row r="19" spans="1:2" x14ac:dyDescent="0.3">
      <c r="A19" t="s">
        <v>103</v>
      </c>
      <c r="B19" t="s">
        <v>217</v>
      </c>
    </row>
    <row r="20" spans="1:2" x14ac:dyDescent="0.3">
      <c r="A20" t="s">
        <v>108</v>
      </c>
      <c r="B20" t="s">
        <v>221</v>
      </c>
    </row>
    <row r="21" spans="1:2" x14ac:dyDescent="0.3">
      <c r="A21" t="s">
        <v>111</v>
      </c>
      <c r="B21" t="s">
        <v>111</v>
      </c>
    </row>
    <row r="22" spans="1:2" x14ac:dyDescent="0.3">
      <c r="A22" t="s">
        <v>114</v>
      </c>
      <c r="B22" t="s">
        <v>114</v>
      </c>
    </row>
    <row r="23" spans="1:2" x14ac:dyDescent="0.3">
      <c r="A23" t="s">
        <v>120</v>
      </c>
      <c r="B23" t="s">
        <v>222</v>
      </c>
    </row>
    <row r="24" spans="1:2" x14ac:dyDescent="0.3">
      <c r="A24" t="s">
        <v>123</v>
      </c>
      <c r="B24" t="s">
        <v>123</v>
      </c>
    </row>
    <row r="25" spans="1:2" x14ac:dyDescent="0.3">
      <c r="A25" t="s">
        <v>132</v>
      </c>
      <c r="B25" t="s">
        <v>223</v>
      </c>
    </row>
    <row r="26" spans="1:2" x14ac:dyDescent="0.3">
      <c r="A26" t="s">
        <v>134</v>
      </c>
      <c r="B26" t="s">
        <v>134</v>
      </c>
    </row>
    <row r="27" spans="1:2" x14ac:dyDescent="0.3">
      <c r="A27" t="s">
        <v>137</v>
      </c>
      <c r="B27" t="s">
        <v>218</v>
      </c>
    </row>
    <row r="28" spans="1:2" x14ac:dyDescent="0.3">
      <c r="A28" t="s">
        <v>139</v>
      </c>
      <c r="B28" t="s">
        <v>139</v>
      </c>
    </row>
    <row r="29" spans="1:2" x14ac:dyDescent="0.3">
      <c r="A29" t="s">
        <v>148</v>
      </c>
      <c r="B29" t="s">
        <v>148</v>
      </c>
    </row>
    <row r="30" spans="1:2" x14ac:dyDescent="0.3">
      <c r="A30" t="s">
        <v>158</v>
      </c>
      <c r="B30" t="s">
        <v>158</v>
      </c>
    </row>
    <row r="31" spans="1:2" x14ac:dyDescent="0.3">
      <c r="A31" t="s">
        <v>164</v>
      </c>
      <c r="B31" t="s">
        <v>62</v>
      </c>
    </row>
    <row r="32" spans="1:2" x14ac:dyDescent="0.3">
      <c r="A32" t="s">
        <v>176</v>
      </c>
      <c r="B32" t="s">
        <v>176</v>
      </c>
    </row>
    <row r="33" spans="1:2" x14ac:dyDescent="0.3">
      <c r="A33" t="s">
        <v>182</v>
      </c>
      <c r="B33" t="s">
        <v>62</v>
      </c>
    </row>
    <row r="34" spans="1:2" x14ac:dyDescent="0.3">
      <c r="A34" t="s">
        <v>192</v>
      </c>
      <c r="B34" t="s">
        <v>148</v>
      </c>
    </row>
    <row r="35" spans="1:2" x14ac:dyDescent="0.3">
      <c r="A35" t="s">
        <v>195</v>
      </c>
      <c r="B35" t="s">
        <v>195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273F-7ADF-41C0-87B8-8BE849FEA8AD}">
  <dimension ref="A1:C77"/>
  <sheetViews>
    <sheetView topLeftCell="A54" workbookViewId="0">
      <selection activeCell="A60" sqref="A60"/>
    </sheetView>
  </sheetViews>
  <sheetFormatPr defaultRowHeight="14.4" x14ac:dyDescent="0.3"/>
  <cols>
    <col min="1" max="1" width="14.33203125" bestFit="1" customWidth="1"/>
    <col min="2" max="2" width="27.44140625" bestFit="1" customWidth="1"/>
    <col min="3" max="3" width="24.5546875" bestFit="1" customWidth="1"/>
    <col min="4" max="4" width="10.5546875" bestFit="1" customWidth="1"/>
    <col min="5" max="100" width="33.88671875" bestFit="1" customWidth="1"/>
    <col min="101" max="101" width="10.5546875" bestFit="1" customWidth="1"/>
  </cols>
  <sheetData>
    <row r="1" spans="1:2" x14ac:dyDescent="0.3">
      <c r="A1" s="13" t="s">
        <v>211</v>
      </c>
      <c r="B1" t="s">
        <v>224</v>
      </c>
    </row>
    <row r="2" spans="1:2" x14ac:dyDescent="0.3">
      <c r="A2" s="14" t="s">
        <v>14</v>
      </c>
      <c r="B2" s="15">
        <v>17</v>
      </c>
    </row>
    <row r="3" spans="1:2" x14ac:dyDescent="0.3">
      <c r="A3" s="14" t="s">
        <v>218</v>
      </c>
      <c r="B3" s="15">
        <v>16</v>
      </c>
    </row>
    <row r="4" spans="1:2" x14ac:dyDescent="0.3">
      <c r="A4" s="14" t="s">
        <v>62</v>
      </c>
      <c r="B4" s="15">
        <v>14</v>
      </c>
    </row>
    <row r="5" spans="1:2" x14ac:dyDescent="0.3">
      <c r="A5" s="14" t="s">
        <v>8</v>
      </c>
      <c r="B5" s="15">
        <v>10</v>
      </c>
    </row>
    <row r="6" spans="1:2" x14ac:dyDescent="0.3">
      <c r="A6" s="14" t="s">
        <v>220</v>
      </c>
      <c r="B6" s="15">
        <v>9</v>
      </c>
    </row>
    <row r="7" spans="1:2" x14ac:dyDescent="0.3">
      <c r="A7" s="14" t="s">
        <v>134</v>
      </c>
      <c r="B7" s="15">
        <v>6</v>
      </c>
    </row>
    <row r="8" spans="1:2" x14ac:dyDescent="0.3">
      <c r="A8" s="14" t="s">
        <v>79</v>
      </c>
      <c r="B8" s="15">
        <v>4</v>
      </c>
    </row>
    <row r="9" spans="1:2" x14ac:dyDescent="0.3">
      <c r="A9" s="14" t="s">
        <v>217</v>
      </c>
      <c r="B9" s="15">
        <v>3</v>
      </c>
    </row>
    <row r="10" spans="1:2" x14ac:dyDescent="0.3">
      <c r="A10" s="14" t="s">
        <v>139</v>
      </c>
      <c r="B10" s="15">
        <v>3</v>
      </c>
    </row>
    <row r="11" spans="1:2" x14ac:dyDescent="0.3">
      <c r="A11" s="14" t="s">
        <v>158</v>
      </c>
      <c r="B11" s="15">
        <v>3</v>
      </c>
    </row>
    <row r="12" spans="1:2" x14ac:dyDescent="0.3">
      <c r="A12" s="14" t="s">
        <v>148</v>
      </c>
      <c r="B12" s="15">
        <v>2</v>
      </c>
    </row>
    <row r="13" spans="1:2" x14ac:dyDescent="0.3">
      <c r="A13" s="14" t="s">
        <v>219</v>
      </c>
      <c r="B13" s="15">
        <v>2</v>
      </c>
    </row>
    <row r="14" spans="1:2" x14ac:dyDescent="0.3">
      <c r="A14" s="14" t="s">
        <v>114</v>
      </c>
      <c r="B14" s="15">
        <v>2</v>
      </c>
    </row>
    <row r="15" spans="1:2" x14ac:dyDescent="0.3">
      <c r="A15" s="14" t="s">
        <v>221</v>
      </c>
      <c r="B15" s="15">
        <v>2</v>
      </c>
    </row>
    <row r="16" spans="1:2" x14ac:dyDescent="0.3">
      <c r="A16" s="14" t="s">
        <v>176</v>
      </c>
      <c r="B16" s="15">
        <v>2</v>
      </c>
    </row>
    <row r="17" spans="1:2" x14ac:dyDescent="0.3">
      <c r="A17" s="14" t="s">
        <v>111</v>
      </c>
      <c r="B17" s="15">
        <v>1</v>
      </c>
    </row>
    <row r="18" spans="1:2" x14ac:dyDescent="0.3">
      <c r="A18" s="14" t="s">
        <v>195</v>
      </c>
      <c r="B18" s="15">
        <v>1</v>
      </c>
    </row>
    <row r="19" spans="1:2" x14ac:dyDescent="0.3">
      <c r="A19" s="14" t="s">
        <v>123</v>
      </c>
      <c r="B19" s="15">
        <v>1</v>
      </c>
    </row>
    <row r="20" spans="1:2" x14ac:dyDescent="0.3">
      <c r="A20" s="14" t="s">
        <v>222</v>
      </c>
      <c r="B20" s="15">
        <v>1</v>
      </c>
    </row>
    <row r="21" spans="1:2" x14ac:dyDescent="0.3">
      <c r="A21" s="14" t="s">
        <v>223</v>
      </c>
      <c r="B21" s="15">
        <v>1</v>
      </c>
    </row>
    <row r="22" spans="1:2" x14ac:dyDescent="0.3">
      <c r="A22" s="14" t="s">
        <v>210</v>
      </c>
      <c r="B22" s="15">
        <v>100</v>
      </c>
    </row>
    <row r="25" spans="1:2" x14ac:dyDescent="0.3">
      <c r="A25" s="13" t="s">
        <v>211</v>
      </c>
      <c r="B25" t="s">
        <v>225</v>
      </c>
    </row>
    <row r="26" spans="1:2" x14ac:dyDescent="0.3">
      <c r="A26" s="14" t="s">
        <v>229</v>
      </c>
      <c r="B26" s="15">
        <v>39</v>
      </c>
    </row>
    <row r="27" spans="1:2" x14ac:dyDescent="0.3">
      <c r="A27" s="14" t="s">
        <v>230</v>
      </c>
      <c r="B27" s="15">
        <v>59</v>
      </c>
    </row>
    <row r="28" spans="1:2" x14ac:dyDescent="0.3">
      <c r="A28" s="14" t="s">
        <v>231</v>
      </c>
      <c r="B28" s="15">
        <v>2</v>
      </c>
    </row>
    <row r="29" spans="1:2" x14ac:dyDescent="0.3">
      <c r="A29" s="14" t="s">
        <v>210</v>
      </c>
      <c r="B29" s="15">
        <v>100</v>
      </c>
    </row>
    <row r="44" spans="1:2" x14ac:dyDescent="0.3">
      <c r="A44" s="13" t="s">
        <v>211</v>
      </c>
      <c r="B44" t="s">
        <v>226</v>
      </c>
    </row>
    <row r="45" spans="1:2" x14ac:dyDescent="0.3">
      <c r="A45" s="14" t="s">
        <v>227</v>
      </c>
      <c r="B45" s="15">
        <v>19</v>
      </c>
    </row>
    <row r="46" spans="1:2" x14ac:dyDescent="0.3">
      <c r="A46" s="14" t="s">
        <v>228</v>
      </c>
      <c r="B46" s="15">
        <v>81</v>
      </c>
    </row>
    <row r="47" spans="1:2" x14ac:dyDescent="0.3">
      <c r="A47" s="14" t="s">
        <v>210</v>
      </c>
      <c r="B47" s="15">
        <v>100</v>
      </c>
    </row>
    <row r="60" spans="1:3" x14ac:dyDescent="0.3">
      <c r="A60" s="4"/>
      <c r="B60" s="5"/>
      <c r="C60" s="6"/>
    </row>
    <row r="61" spans="1:3" x14ac:dyDescent="0.3">
      <c r="A61" s="7"/>
      <c r="B61" s="8"/>
      <c r="C61" s="9"/>
    </row>
    <row r="62" spans="1:3" x14ac:dyDescent="0.3">
      <c r="A62" s="7"/>
      <c r="B62" s="8"/>
      <c r="C62" s="9"/>
    </row>
    <row r="63" spans="1:3" x14ac:dyDescent="0.3">
      <c r="A63" s="7"/>
      <c r="B63" s="8"/>
      <c r="C63" s="9"/>
    </row>
    <row r="64" spans="1:3" x14ac:dyDescent="0.3">
      <c r="A64" s="7"/>
      <c r="B64" s="8"/>
      <c r="C64" s="9"/>
    </row>
    <row r="65" spans="1:3" x14ac:dyDescent="0.3">
      <c r="A65" s="7"/>
      <c r="B65" s="8"/>
      <c r="C65" s="9"/>
    </row>
    <row r="66" spans="1:3" x14ac:dyDescent="0.3">
      <c r="A66" s="7"/>
      <c r="B66" s="8"/>
      <c r="C66" s="9"/>
    </row>
    <row r="67" spans="1:3" x14ac:dyDescent="0.3">
      <c r="A67" s="7"/>
      <c r="B67" s="8"/>
      <c r="C67" s="9"/>
    </row>
    <row r="68" spans="1:3" x14ac:dyDescent="0.3">
      <c r="A68" s="7"/>
      <c r="B68" s="8"/>
      <c r="C68" s="9"/>
    </row>
    <row r="69" spans="1:3" x14ac:dyDescent="0.3">
      <c r="A69" s="7"/>
      <c r="B69" s="8"/>
      <c r="C69" s="9"/>
    </row>
    <row r="70" spans="1:3" x14ac:dyDescent="0.3">
      <c r="A70" s="7"/>
      <c r="B70" s="8"/>
      <c r="C70" s="9"/>
    </row>
    <row r="71" spans="1:3" x14ac:dyDescent="0.3">
      <c r="A71" s="7"/>
      <c r="B71" s="8"/>
      <c r="C71" s="9"/>
    </row>
    <row r="72" spans="1:3" x14ac:dyDescent="0.3">
      <c r="A72" s="7"/>
      <c r="B72" s="8"/>
      <c r="C72" s="9"/>
    </row>
    <row r="73" spans="1:3" x14ac:dyDescent="0.3">
      <c r="A73" s="7"/>
      <c r="B73" s="8"/>
      <c r="C73" s="9"/>
    </row>
    <row r="74" spans="1:3" x14ac:dyDescent="0.3">
      <c r="A74" s="7"/>
      <c r="B74" s="8"/>
      <c r="C74" s="9"/>
    </row>
    <row r="75" spans="1:3" x14ac:dyDescent="0.3">
      <c r="A75" s="7"/>
      <c r="B75" s="8"/>
      <c r="C75" s="9"/>
    </row>
    <row r="76" spans="1:3" x14ac:dyDescent="0.3">
      <c r="A76" s="7"/>
      <c r="B76" s="8"/>
      <c r="C76" s="9"/>
    </row>
    <row r="77" spans="1:3" x14ac:dyDescent="0.3">
      <c r="A77" s="10"/>
      <c r="B77" s="11"/>
      <c r="C77" s="12"/>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D8992-ED97-49CD-BC2F-35BED986A7BD}">
  <dimension ref="A1:P3"/>
  <sheetViews>
    <sheetView showGridLines="0" tabSelected="1" zoomScale="94" workbookViewId="0">
      <selection activeCell="C34" sqref="C34"/>
    </sheetView>
  </sheetViews>
  <sheetFormatPr defaultRowHeight="14.4" x14ac:dyDescent="0.3"/>
  <sheetData>
    <row r="1" spans="1:16" x14ac:dyDescent="0.3">
      <c r="A1" s="17" t="s">
        <v>232</v>
      </c>
      <c r="B1" s="16"/>
      <c r="C1" s="16"/>
      <c r="D1" s="16"/>
      <c r="E1" s="16"/>
      <c r="F1" s="16"/>
      <c r="G1" s="16"/>
      <c r="H1" s="16"/>
      <c r="I1" s="16"/>
      <c r="J1" s="16"/>
      <c r="K1" s="16"/>
      <c r="L1" s="16"/>
      <c r="M1" s="16"/>
      <c r="N1" s="16"/>
      <c r="O1" s="16"/>
      <c r="P1" s="16"/>
    </row>
    <row r="2" spans="1:16" x14ac:dyDescent="0.3">
      <c r="A2" s="16"/>
      <c r="B2" s="16"/>
      <c r="C2" s="16"/>
      <c r="D2" s="16"/>
      <c r="E2" s="16"/>
      <c r="F2" s="16"/>
      <c r="G2" s="16"/>
      <c r="H2" s="16"/>
      <c r="I2" s="16"/>
      <c r="J2" s="16"/>
      <c r="K2" s="16"/>
      <c r="L2" s="16"/>
      <c r="M2" s="16"/>
      <c r="N2" s="16"/>
      <c r="O2" s="16"/>
      <c r="P2" s="16"/>
    </row>
    <row r="3" spans="1:16" x14ac:dyDescent="0.3">
      <c r="A3" s="16"/>
      <c r="B3" s="16"/>
      <c r="C3" s="16"/>
      <c r="D3" s="16"/>
      <c r="E3" s="16"/>
      <c r="F3" s="16"/>
      <c r="G3" s="16"/>
      <c r="H3" s="16"/>
      <c r="I3" s="16"/>
      <c r="J3" s="16"/>
      <c r="K3" s="16"/>
      <c r="L3" s="16"/>
      <c r="M3" s="16"/>
      <c r="N3" s="16"/>
      <c r="O3" s="16"/>
      <c r="P3" s="16"/>
    </row>
  </sheetData>
  <mergeCells count="1">
    <mergeCell ref="A1: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largest_companies</vt:lpstr>
      <vt:lpstr>working_largest_companies</vt:lpstr>
      <vt:lpstr>Industry_Mapping</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Tatum, Elvessa</cp:lastModifiedBy>
  <dcterms:created xsi:type="dcterms:W3CDTF">2025-11-25T21:27:42Z</dcterms:created>
  <dcterms:modified xsi:type="dcterms:W3CDTF">2025-11-26T00:48:33Z</dcterms:modified>
</cp:coreProperties>
</file>